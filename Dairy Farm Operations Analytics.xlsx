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Data Science\Excel\Projects\DairyFarm\"/>
    </mc:Choice>
  </mc:AlternateContent>
  <xr:revisionPtr revIDLastSave="0" documentId="13_ncr:1_{7729F145-43D2-4250-9330-E40DB05B72AD}" xr6:coauthVersionLast="47" xr6:coauthVersionMax="47" xr10:uidLastSave="{00000000-0000-0000-0000-000000000000}"/>
  <bookViews>
    <workbookView xWindow="-110" yWindow="-110" windowWidth="19420" windowHeight="10300" xr2:uid="{D91EBF8E-2A7C-45AF-9576-8AAB3AD47CD9}"/>
  </bookViews>
  <sheets>
    <sheet name="data" sheetId="2" r:id="rId1"/>
  </sheets>
  <definedNames>
    <definedName name="ExternalData_1" localSheetId="0" hidden="1">data!$A$1:$J$11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2" l="1"/>
  <c r="K2" i="2"/>
  <c r="J19" i="2"/>
  <c r="D19" i="2"/>
  <c r="J16" i="2"/>
  <c r="G16" i="2"/>
  <c r="D16" i="2"/>
  <c r="K3" i="2"/>
  <c r="K4" i="2"/>
  <c r="K5" i="2"/>
  <c r="K6" i="2"/>
  <c r="K7" i="2"/>
  <c r="K8" i="2"/>
  <c r="K9" i="2"/>
  <c r="K10" i="2"/>
  <c r="K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276136-7568-4B07-8B60-902FEC89D1BA}" keepAlive="1" name="Query - data" description="Connection to the 'data' query in the workbook." type="5" refreshedVersion="7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<sst xmlns="http://schemas.openxmlformats.org/spreadsheetml/2006/main" count="104" uniqueCount="48">
  <si>
    <t>Date</t>
  </si>
  <si>
    <t>Cow_ID</t>
  </si>
  <si>
    <t>Breed</t>
  </si>
  <si>
    <t>Milk_Liters</t>
  </si>
  <si>
    <t>Feed_Kg</t>
  </si>
  <si>
    <t>Health_Status</t>
  </si>
  <si>
    <t>Vet_Visit</t>
  </si>
  <si>
    <t>Breeding_Status</t>
  </si>
  <si>
    <t>Department</t>
  </si>
  <si>
    <t>Shift</t>
  </si>
  <si>
    <t>C101</t>
  </si>
  <si>
    <t>Gir</t>
  </si>
  <si>
    <t>Healthy</t>
  </si>
  <si>
    <t>No</t>
  </si>
  <si>
    <t>Pregnant</t>
  </si>
  <si>
    <t>Milking</t>
  </si>
  <si>
    <t>Morning</t>
  </si>
  <si>
    <t>C106</t>
  </si>
  <si>
    <t>Jersey</t>
  </si>
  <si>
    <t>Bred</t>
  </si>
  <si>
    <t>Breeding</t>
  </si>
  <si>
    <t>C111</t>
  </si>
  <si>
    <t>HF</t>
  </si>
  <si>
    <t>C116</t>
  </si>
  <si>
    <t>Evening</t>
  </si>
  <si>
    <t>C121</t>
  </si>
  <si>
    <t>C126</t>
  </si>
  <si>
    <t>Open</t>
  </si>
  <si>
    <t>C131</t>
  </si>
  <si>
    <t>C136</t>
  </si>
  <si>
    <t>Sick</t>
  </si>
  <si>
    <t>Yes</t>
  </si>
  <si>
    <t>Veterinary</t>
  </si>
  <si>
    <t>C141</t>
  </si>
  <si>
    <t>C146</t>
  </si>
  <si>
    <t>Production_Status</t>
  </si>
  <si>
    <t>Total Milk Production</t>
  </si>
  <si>
    <t>Average Milk Production</t>
  </si>
  <si>
    <t>Total Healthy Cow</t>
  </si>
  <si>
    <t>Total Sick Cows</t>
  </si>
  <si>
    <t>Average Feed Consumption</t>
  </si>
  <si>
    <t>Vet Visits</t>
  </si>
  <si>
    <t>Grand Total</t>
  </si>
  <si>
    <t>Breeds</t>
  </si>
  <si>
    <t>Milk Production (liters)</t>
  </si>
  <si>
    <t>Health Status</t>
  </si>
  <si>
    <t>Count of Cow</t>
  </si>
  <si>
    <t>Average Milk Production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</si>
</sst>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Production Over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Milk_Liters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data!$A$2:$A$11</c:f>
              <c:numCache>
                <c:formatCode>m/d/yyyy</c:formatCode>
                <c:ptCount val="1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</c:numCache>
            </c:numRef>
          </c:cat>
          <c:val>
            <c:numRef>
              <c:f>data!$D$2:$D$11</c:f>
              <c:numCache>
                <c:formatCode>General</c:formatCode>
                <c:ptCount val="10"/>
                <c:pt idx="0">
                  <c:v>18</c:v>
                </c:pt>
                <c:pt idx="1">
                  <c:v>15</c:v>
                </c:pt>
                <c:pt idx="2">
                  <c:v>26</c:v>
                </c:pt>
                <c:pt idx="3">
                  <c:v>20</c:v>
                </c:pt>
                <c:pt idx="4">
                  <c:v>17</c:v>
                </c:pt>
                <c:pt idx="5">
                  <c:v>26</c:v>
                </c:pt>
                <c:pt idx="6">
                  <c:v>18</c:v>
                </c:pt>
                <c:pt idx="7">
                  <c:v>14</c:v>
                </c:pt>
                <c:pt idx="8">
                  <c:v>26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C-4A3A-8804-6388394EC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546397160"/>
        <c:axId val="546392896"/>
      </c:areaChart>
      <c:dateAx>
        <c:axId val="5463971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392896"/>
        <c:crosses val="autoZero"/>
        <c:auto val="1"/>
        <c:lblOffset val="100"/>
        <c:baseTimeUnit val="days"/>
      </c:dateAx>
      <c:valAx>
        <c:axId val="546392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397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Production By Breed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Gir</c:v>
              </c:pt>
              <c:pt idx="1">
                <c:v>HF</c:v>
              </c:pt>
              <c:pt idx="2">
                <c:v>Jersey</c:v>
              </c:pt>
            </c:strLit>
          </c:cat>
          <c:val>
            <c:numLit>
              <c:formatCode>General</c:formatCode>
              <c:ptCount val="3"/>
              <c:pt idx="0">
                <c:v>76</c:v>
              </c:pt>
              <c:pt idx="1">
                <c:v>78</c:v>
              </c:pt>
              <c:pt idx="2">
                <c:v>46</c:v>
              </c:pt>
            </c:numLit>
          </c:val>
          <c:extLst>
            <c:ext xmlns:c16="http://schemas.microsoft.com/office/drawing/2014/chart" uri="{C3380CC4-5D6E-409C-BE32-E72D297353CC}">
              <c16:uniqueId val="{00000000-199A-457D-84E7-CC87AACCFB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2128768"/>
        <c:axId val="542129752"/>
      </c:barChart>
      <c:catAx>
        <c:axId val="54212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29752"/>
        <c:crosses val="autoZero"/>
        <c:auto val="1"/>
        <c:lblAlgn val="ctr"/>
        <c:lblOffset val="100"/>
        <c:noMultiLvlLbl val="0"/>
      </c:catAx>
      <c:valAx>
        <c:axId val="54212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2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460910</xdr:colOff>
      <xdr:row>27</xdr:row>
      <xdr:rowOff>162388</xdr:rowOff>
    </xdr:from>
    <xdr:to>
      <xdr:col>11</xdr:col>
      <xdr:colOff>231169</xdr:colOff>
      <xdr:row>42</xdr:row>
      <xdr:rowOff>123004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461CDE-17D0-4317-A6A5-5C5ACF0DB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592191</xdr:colOff>
      <xdr:row>27</xdr:row>
      <xdr:rowOff>171235</xdr:rowOff>
    </xdr:from>
    <xdr:to>
      <xdr:col>7</xdr:col>
      <xdr:colOff>333910</xdr:colOff>
      <xdr:row>42</xdr:row>
      <xdr:rowOff>131851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E4E70B-FB21-47D2-A80D-D6438C6F2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185506</xdr:colOff>
      <xdr:row>44</xdr:row>
      <xdr:rowOff>156967</xdr:rowOff>
    </xdr:from>
    <xdr:to>
      <xdr:col>9</xdr:col>
      <xdr:colOff>313933</xdr:colOff>
      <xdr:row>49</xdr:row>
      <xdr:rowOff>178371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9733A93-E68B-4001-9CE7-AD93B022FE3A}"/>
            </a:ext>
          </a:extLst>
        </xdr:cNvPr>
        <xdr:cNvSpPr txBox="1"/>
      </xdr:nvSpPr>
      <xdr:spPr>
        <a:xfrm>
          <a:off x="4323708" y="8447641"/>
          <a:ext cx="4609101" cy="9489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Segoe UI Semibold" panose="020B0702040204020203" pitchFamily="34" charset="0"/>
              <a:cs typeface="Segoe UI Semibold" panose="020B0702040204020203" pitchFamily="34" charset="0"/>
            </a:rPr>
            <a:t>-</a:t>
          </a:r>
          <a:r>
            <a:rPr lang="en-US" sz="1200" baseline="0"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r>
            <a:rPr lang="en-US" sz="1200">
              <a:latin typeface="Segoe UI Semibold" panose="020B0702040204020203" pitchFamily="34" charset="0"/>
              <a:cs typeface="Segoe UI Semibold" panose="020B0702040204020203" pitchFamily="34" charset="0"/>
            </a:rPr>
            <a:t>Jersey Cow Produces lesser Milk compare to</a:t>
          </a:r>
          <a:r>
            <a:rPr lang="en-US" sz="1200" baseline="0">
              <a:latin typeface="Segoe UI Semibold" panose="020B0702040204020203" pitchFamily="34" charset="0"/>
              <a:cs typeface="Segoe UI Semibold" panose="020B0702040204020203" pitchFamily="34" charset="0"/>
            </a:rPr>
            <a:t> Gir and HF Breed.</a:t>
          </a:r>
        </a:p>
        <a:p>
          <a:r>
            <a:rPr lang="en-US" sz="1200" baseline="0">
              <a:latin typeface="Segoe UI Semibold" panose="020B0702040204020203" pitchFamily="34" charset="0"/>
              <a:cs typeface="Segoe UI Semibold" panose="020B0702040204020203" pitchFamily="34" charset="0"/>
            </a:rPr>
            <a:t>- Average Milk Production is 20 Liters.</a:t>
          </a:r>
        </a:p>
        <a:p>
          <a:r>
            <a:rPr lang="en-US" sz="1200" baseline="0">
              <a:latin typeface="Segoe UI Semibold" panose="020B0702040204020203" pitchFamily="34" charset="0"/>
              <a:cs typeface="Segoe UI Semibold" panose="020B0702040204020203" pitchFamily="34" charset="0"/>
            </a:rPr>
            <a:t>- Currently 90% of the Cows are Healthy.</a:t>
          </a:r>
        </a:p>
        <a:p>
          <a:r>
            <a:rPr lang="en-US" sz="1200" baseline="0">
              <a:latin typeface="Segoe UI Semibold" panose="020B0702040204020203" pitchFamily="34" charset="0"/>
              <a:cs typeface="Segoe UI Semibold" panose="020B0702040204020203" pitchFamily="34" charset="0"/>
            </a:rPr>
            <a:t>- Average Feed Consumption is 12.9 KG.</a:t>
          </a:r>
          <a:endParaRPr lang="en-US" sz="12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t Chauhan" refreshedDate="46162.053083101855" createdVersion="7" refreshedVersion="7" minRefreshableVersion="3" recordCount="10" xr:uid="{AB7675D6-78A6-4809-B851-A343B5DE1AB7}">
  <cacheSource type="worksheet">
    <worksheetSource name="data"/>
  </cacheSource>
  <cacheFields count="11">
    <cacheField name="Date" numFmtId="14">
      <sharedItems containsSemiMixedTypes="0" containsNonDate="0" containsDate="1" containsString="0" minDate="2026-05-01T00:00:00" maxDate="2026-05-11T00:00:00"/>
    </cacheField>
    <cacheField name="Cow_ID" numFmtId="0">
      <sharedItems count="10">
        <s v="C101"/>
        <s v="C106"/>
        <s v="C111"/>
        <s v="C116"/>
        <s v="C121"/>
        <s v="C126"/>
        <s v="C131"/>
        <s v="C136"/>
        <s v="C141"/>
        <s v="C146"/>
      </sharedItems>
    </cacheField>
    <cacheField name="Breed" numFmtId="0">
      <sharedItems count="3">
        <s v="Gir"/>
        <s v="Jersey"/>
        <s v="HF"/>
      </sharedItems>
    </cacheField>
    <cacheField name="Milk_Liters" numFmtId="0">
      <sharedItems containsSemiMixedTypes="0" containsString="0" containsNumber="1" containsInteger="1" minValue="14" maxValue="26"/>
    </cacheField>
    <cacheField name="Feed_Kg" numFmtId="0">
      <sharedItems containsSemiMixedTypes="0" containsString="0" containsNumber="1" containsInteger="1" minValue="10" maxValue="16"/>
    </cacheField>
    <cacheField name="Health_Status" numFmtId="0">
      <sharedItems count="2">
        <s v="Healthy"/>
        <s v="Sick"/>
      </sharedItems>
    </cacheField>
    <cacheField name="Vet_Visit" numFmtId="0">
      <sharedItems/>
    </cacheField>
    <cacheField name="Breeding_Status" numFmtId="0">
      <sharedItems/>
    </cacheField>
    <cacheField name="Department" numFmtId="0">
      <sharedItems count="3">
        <s v="Milking"/>
        <s v="Breeding"/>
        <s v="Veterinary"/>
      </sharedItems>
    </cacheField>
    <cacheField name="Shift" numFmtId="0">
      <sharedItems/>
    </cacheField>
    <cacheField name="Production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5-01T00:00:00"/>
    <x v="0"/>
    <x v="0"/>
    <n v="18"/>
    <n v="12"/>
    <x v="0"/>
    <s v="No"/>
    <s v="Pregnant"/>
    <x v="0"/>
    <s v="Morning"/>
    <s v="Good"/>
  </r>
  <r>
    <d v="2026-05-02T00:00:00"/>
    <x v="1"/>
    <x v="1"/>
    <n v="15"/>
    <n v="10"/>
    <x v="0"/>
    <s v="No"/>
    <s v="Bred"/>
    <x v="1"/>
    <s v="Morning"/>
    <s v="Low"/>
  </r>
  <r>
    <d v="2026-05-03T00:00:00"/>
    <x v="2"/>
    <x v="2"/>
    <n v="26"/>
    <n v="16"/>
    <x v="0"/>
    <s v="No"/>
    <s v="Pregnant"/>
    <x v="0"/>
    <s v="Morning"/>
    <s v="Good"/>
  </r>
  <r>
    <d v="2026-05-04T00:00:00"/>
    <x v="3"/>
    <x v="0"/>
    <n v="20"/>
    <n v="13"/>
    <x v="0"/>
    <s v="No"/>
    <s v="Bred"/>
    <x v="0"/>
    <s v="Evening"/>
    <s v="Good"/>
  </r>
  <r>
    <d v="2026-05-05T00:00:00"/>
    <x v="4"/>
    <x v="1"/>
    <n v="17"/>
    <n v="11"/>
    <x v="0"/>
    <s v="No"/>
    <s v="Pregnant"/>
    <x v="0"/>
    <s v="Morning"/>
    <s v="Low"/>
  </r>
  <r>
    <d v="2026-05-06T00:00:00"/>
    <x v="5"/>
    <x v="2"/>
    <n v="26"/>
    <n v="16"/>
    <x v="0"/>
    <s v="No"/>
    <s v="Open"/>
    <x v="0"/>
    <s v="Evening"/>
    <s v="Good"/>
  </r>
  <r>
    <d v="2026-05-07T00:00:00"/>
    <x v="6"/>
    <x v="0"/>
    <n v="18"/>
    <n v="12"/>
    <x v="0"/>
    <s v="No"/>
    <s v="Bred"/>
    <x v="0"/>
    <s v="Morning"/>
    <s v="Good"/>
  </r>
  <r>
    <d v="2026-05-08T00:00:00"/>
    <x v="7"/>
    <x v="1"/>
    <n v="14"/>
    <n v="10"/>
    <x v="1"/>
    <s v="Yes"/>
    <s v="Pregnant"/>
    <x v="2"/>
    <s v="Evening"/>
    <s v="Low"/>
  </r>
  <r>
    <d v="2026-05-09T00:00:00"/>
    <x v="8"/>
    <x v="2"/>
    <n v="26"/>
    <n v="16"/>
    <x v="0"/>
    <s v="No"/>
    <s v="Open"/>
    <x v="0"/>
    <s v="Morning"/>
    <s v="Good"/>
  </r>
  <r>
    <d v="2026-05-10T00:00:00"/>
    <x v="9"/>
    <x v="0"/>
    <n v="20"/>
    <n v="13"/>
    <x v="0"/>
    <s v="No"/>
    <s v="Bred"/>
    <x v="0"/>
    <s v="Evening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35C8E-D4F2-4423-901B-6CD8E3BA56D3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">
  <location ref="J22:K26" firstHeaderRow="1" firstDataRow="1" firstDataCol="1"/>
  <pivotFields count="11"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Milk Production (liter)" fld="3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AEB86-E5CE-4D92-B70C-8AF1F6F9D4A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Health Status">
  <location ref="G22:H25" firstHeaderRow="1" firstDataRow="1" firstDataCol="1"/>
  <pivotFields count="11">
    <pivotField numFmtId="14"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ow" fld="1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F56BF-FD37-42D2-AC95-DFAA61DB9087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Breeds">
  <location ref="D22:E26" firstHeaderRow="1" firstDataRow="1" firstDataCol="1"/>
  <pivotFields count="11"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ilk Production (liters)" fld="3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37B838-BCB2-4255-8B60-6866661CAFBA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Date" tableColumnId="1"/>
      <queryTableField id="2" name="Cow_ID" tableColumnId="2"/>
      <queryTableField id="3" name="Breed" tableColumnId="3"/>
      <queryTableField id="4" name="Milk_Liters" tableColumnId="4"/>
      <queryTableField id="5" name="Feed_Kg" tableColumnId="5"/>
      <queryTableField id="6" name="Health_Status" tableColumnId="6"/>
      <queryTableField id="7" name="Vet_Visit" tableColumnId="7"/>
      <queryTableField id="8" name="Breeding_Status" tableColumnId="8"/>
      <queryTableField id="9" name="Department" tableColumnId="9"/>
      <queryTableField id="10" name="Shift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A9EC8D-58C5-45FB-8F8B-E168A9572637}" name="data" displayName="data" ref="A1:K11" tableType="queryTable" totalsRowShown="0">
  <autoFilter ref="A1:K11" xr:uid="{65A9EC8D-58C5-45FB-8F8B-E168A9572637}"/>
  <tableColumns count="11">
    <tableColumn id="1" xr3:uid="{5F83010D-7D75-4F17-825A-EAF89134221B}" uniqueName="1" name="Date" queryTableFieldId="1" dataDxfId="8"/>
    <tableColumn id="2" xr3:uid="{AA717981-59EB-4318-BBE7-E510A83809D1}" uniqueName="2" name="Cow_ID" queryTableFieldId="2" dataDxfId="7"/>
    <tableColumn id="3" xr3:uid="{796E8FF3-6A5E-4480-A360-138727EFC6A8}" uniqueName="3" name="Breed" queryTableFieldId="3" dataDxfId="6"/>
    <tableColumn id="4" xr3:uid="{C1526250-7D0A-4C1E-AC2E-C7B58C118A6B}" uniqueName="4" name="Milk_Liters" queryTableFieldId="4"/>
    <tableColumn id="5" xr3:uid="{A0418363-38AC-4A7A-AB3C-E3CC4CE55CFA}" uniqueName="5" name="Feed_Kg" queryTableFieldId="5"/>
    <tableColumn id="6" xr3:uid="{4C462288-5EC7-400C-BF17-6D1E33836E68}" uniqueName="6" name="Health_Status" queryTableFieldId="6" dataDxfId="5"/>
    <tableColumn id="7" xr3:uid="{C80C3C72-F04B-4898-B07F-B2EDEE238AD4}" uniqueName="7" name="Vet_Visit" queryTableFieldId="7" dataDxfId="4"/>
    <tableColumn id="8" xr3:uid="{C91FDEC5-D643-4060-9154-8A498D64BAEF}" uniqueName="8" name="Breeding_Status" queryTableFieldId="8" dataDxfId="3"/>
    <tableColumn id="9" xr3:uid="{8DE6D0F9-BF36-4D5C-826D-76A61034C1FF}" uniqueName="9" name="Department" queryTableFieldId="9" dataDxfId="2"/>
    <tableColumn id="10" xr3:uid="{79B168A0-1758-4E8A-93EA-AD1AE3E6A09D}" uniqueName="10" name="Shift" queryTableFieldId="10" dataDxfId="1"/>
    <tableColumn id="11" xr3:uid="{EA6930B9-9D22-430B-8B38-C53CF6514EB7}" uniqueName="11" name="Production_Status" queryTableFieldId="11" dataDxfId="0">
      <calculatedColumnFormula>IF(data[[#This Row],[Milk_Liters]]&lt;18, "Low", "Good")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69DF-58F3-41FF-9161-42F777D62143}">
  <dimension ref="A1:K26"/>
  <sheetViews>
    <sheetView tabSelected="1" zoomScale="89" workbookViewId="0">
      <selection activeCell="K50" sqref="K50"/>
    </sheetView>
  </sheetViews>
  <sheetFormatPr defaultRowHeight="14.5" x14ac:dyDescent="0.35"/>
  <cols>
    <col min="1" max="1" width="10.453125" customWidth="1"/>
    <col min="2" max="2" width="11.453125" customWidth="1"/>
    <col min="3" max="3" width="8.90625" customWidth="1"/>
    <col min="4" max="4" width="13.08984375" bestFit="1" customWidth="1"/>
    <col min="5" max="5" width="15.453125" bestFit="1" customWidth="1"/>
    <col min="6" max="6" width="16.7265625" customWidth="1"/>
    <col min="7" max="7" width="15" bestFit="1" customWidth="1"/>
    <col min="8" max="8" width="17.90625" customWidth="1"/>
    <col min="9" max="9" width="14.54296875" customWidth="1"/>
    <col min="10" max="10" width="13.90625" bestFit="1" customWidth="1"/>
    <col min="11" max="11" width="27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35</v>
      </c>
    </row>
    <row r="2" spans="1:11" x14ac:dyDescent="0.35">
      <c r="A2" s="1">
        <v>46143</v>
      </c>
      <c r="B2" t="s">
        <v>10</v>
      </c>
      <c r="C2" t="s">
        <v>11</v>
      </c>
      <c r="D2">
        <v>18</v>
      </c>
      <c r="E2">
        <v>12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tr">
        <f>IF(data[[#This Row],[Milk_Liters]]&lt;18, "Low", "Good")</f>
        <v>Good</v>
      </c>
    </row>
    <row r="3" spans="1:11" x14ac:dyDescent="0.35">
      <c r="A3" s="1">
        <v>46144</v>
      </c>
      <c r="B3" t="s">
        <v>17</v>
      </c>
      <c r="C3" t="s">
        <v>18</v>
      </c>
      <c r="D3">
        <v>15</v>
      </c>
      <c r="E3">
        <v>10</v>
      </c>
      <c r="F3" t="s">
        <v>12</v>
      </c>
      <c r="G3" t="s">
        <v>13</v>
      </c>
      <c r="H3" t="s">
        <v>19</v>
      </c>
      <c r="I3" t="s">
        <v>20</v>
      </c>
      <c r="J3" t="s">
        <v>16</v>
      </c>
      <c r="K3" t="str">
        <f>IF(data[[#This Row],[Milk_Liters]]&lt;18, "Low", "Good")</f>
        <v>Low</v>
      </c>
    </row>
    <row r="4" spans="1:11" x14ac:dyDescent="0.35">
      <c r="A4" s="1">
        <v>46145</v>
      </c>
      <c r="B4" t="s">
        <v>21</v>
      </c>
      <c r="C4" t="s">
        <v>22</v>
      </c>
      <c r="D4">
        <v>26</v>
      </c>
      <c r="E4">
        <v>16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tr">
        <f>IF(data[[#This Row],[Milk_Liters]]&lt;18, "Low", "Good")</f>
        <v>Good</v>
      </c>
    </row>
    <row r="5" spans="1:11" x14ac:dyDescent="0.35">
      <c r="A5" s="1">
        <v>46146</v>
      </c>
      <c r="B5" t="s">
        <v>23</v>
      </c>
      <c r="C5" t="s">
        <v>11</v>
      </c>
      <c r="D5">
        <v>20</v>
      </c>
      <c r="E5">
        <v>13</v>
      </c>
      <c r="F5" t="s">
        <v>12</v>
      </c>
      <c r="G5" t="s">
        <v>13</v>
      </c>
      <c r="H5" t="s">
        <v>19</v>
      </c>
      <c r="I5" t="s">
        <v>15</v>
      </c>
      <c r="J5" t="s">
        <v>24</v>
      </c>
      <c r="K5" t="str">
        <f>IF(data[[#This Row],[Milk_Liters]]&lt;18, "Low", "Good")</f>
        <v>Good</v>
      </c>
    </row>
    <row r="6" spans="1:11" x14ac:dyDescent="0.35">
      <c r="A6" s="1">
        <v>46147</v>
      </c>
      <c r="B6" t="s">
        <v>25</v>
      </c>
      <c r="C6" t="s">
        <v>18</v>
      </c>
      <c r="D6">
        <v>17</v>
      </c>
      <c r="E6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tr">
        <f>IF(data[[#This Row],[Milk_Liters]]&lt;18, "Low", "Good")</f>
        <v>Low</v>
      </c>
    </row>
    <row r="7" spans="1:11" x14ac:dyDescent="0.35">
      <c r="A7" s="1">
        <v>46148</v>
      </c>
      <c r="B7" t="s">
        <v>26</v>
      </c>
      <c r="C7" t="s">
        <v>22</v>
      </c>
      <c r="D7">
        <v>26</v>
      </c>
      <c r="E7">
        <v>16</v>
      </c>
      <c r="F7" t="s">
        <v>12</v>
      </c>
      <c r="G7" t="s">
        <v>13</v>
      </c>
      <c r="H7" t="s">
        <v>27</v>
      </c>
      <c r="I7" t="s">
        <v>15</v>
      </c>
      <c r="J7" t="s">
        <v>24</v>
      </c>
      <c r="K7" t="str">
        <f>IF(data[[#This Row],[Milk_Liters]]&lt;18, "Low", "Good")</f>
        <v>Good</v>
      </c>
    </row>
    <row r="8" spans="1:11" x14ac:dyDescent="0.35">
      <c r="A8" s="1">
        <v>46149</v>
      </c>
      <c r="B8" t="s">
        <v>28</v>
      </c>
      <c r="C8" t="s">
        <v>11</v>
      </c>
      <c r="D8">
        <v>18</v>
      </c>
      <c r="E8">
        <v>12</v>
      </c>
      <c r="F8" t="s">
        <v>12</v>
      </c>
      <c r="G8" t="s">
        <v>13</v>
      </c>
      <c r="H8" t="s">
        <v>19</v>
      </c>
      <c r="I8" t="s">
        <v>15</v>
      </c>
      <c r="J8" t="s">
        <v>16</v>
      </c>
      <c r="K8" t="str">
        <f>IF(data[[#This Row],[Milk_Liters]]&lt;18, "Low", "Good")</f>
        <v>Good</v>
      </c>
    </row>
    <row r="9" spans="1:11" x14ac:dyDescent="0.35">
      <c r="A9" s="1">
        <v>46150</v>
      </c>
      <c r="B9" t="s">
        <v>29</v>
      </c>
      <c r="C9" t="s">
        <v>18</v>
      </c>
      <c r="D9">
        <v>14</v>
      </c>
      <c r="E9">
        <v>10</v>
      </c>
      <c r="F9" t="s">
        <v>30</v>
      </c>
      <c r="G9" t="s">
        <v>31</v>
      </c>
      <c r="H9" t="s">
        <v>14</v>
      </c>
      <c r="I9" t="s">
        <v>32</v>
      </c>
      <c r="J9" t="s">
        <v>24</v>
      </c>
      <c r="K9" t="str">
        <f>IF(data[[#This Row],[Milk_Liters]]&lt;18, "Low", "Good")</f>
        <v>Low</v>
      </c>
    </row>
    <row r="10" spans="1:11" x14ac:dyDescent="0.35">
      <c r="A10" s="1">
        <v>46151</v>
      </c>
      <c r="B10" t="s">
        <v>33</v>
      </c>
      <c r="C10" t="s">
        <v>22</v>
      </c>
      <c r="D10">
        <v>26</v>
      </c>
      <c r="E10">
        <v>16</v>
      </c>
      <c r="F10" t="s">
        <v>12</v>
      </c>
      <c r="G10" t="s">
        <v>13</v>
      </c>
      <c r="H10" t="s">
        <v>27</v>
      </c>
      <c r="I10" t="s">
        <v>15</v>
      </c>
      <c r="J10" t="s">
        <v>16</v>
      </c>
      <c r="K10" t="str">
        <f>IF(data[[#This Row],[Milk_Liters]]&lt;18, "Low", "Good")</f>
        <v>Good</v>
      </c>
    </row>
    <row r="11" spans="1:11" x14ac:dyDescent="0.35">
      <c r="A11" s="1">
        <v>46152</v>
      </c>
      <c r="B11" t="s">
        <v>34</v>
      </c>
      <c r="C11" t="s">
        <v>11</v>
      </c>
      <c r="D11">
        <v>20</v>
      </c>
      <c r="E11">
        <v>13</v>
      </c>
      <c r="F11" t="s">
        <v>12</v>
      </c>
      <c r="G11" t="s">
        <v>13</v>
      </c>
      <c r="H11" t="s">
        <v>19</v>
      </c>
      <c r="I11" t="s">
        <v>15</v>
      </c>
      <c r="J11" t="s">
        <v>24</v>
      </c>
      <c r="K11" t="str">
        <f>IF(data[[#This Row],[Milk_Liters]]&lt;18, "Low", "Good")</f>
        <v>Good</v>
      </c>
    </row>
    <row r="15" spans="1:11" ht="18.5" x14ac:dyDescent="0.45">
      <c r="D15" s="4" t="s">
        <v>36</v>
      </c>
      <c r="E15" s="4"/>
      <c r="G15" s="4" t="s">
        <v>37</v>
      </c>
      <c r="H15" s="4"/>
      <c r="J15" s="4" t="s">
        <v>38</v>
      </c>
      <c r="K15" s="4"/>
    </row>
    <row r="16" spans="1:11" ht="15.5" x14ac:dyDescent="0.35">
      <c r="D16" s="5">
        <f>SUM(data[Milk_Liters])</f>
        <v>200</v>
      </c>
      <c r="E16" s="5"/>
      <c r="G16" s="5">
        <f>AVERAGE(data[Milk_Liters])</f>
        <v>20</v>
      </c>
      <c r="H16" s="5"/>
      <c r="J16" s="5">
        <f>COUNTIF(data[Health_Status], "Healthy")</f>
        <v>9</v>
      </c>
      <c r="K16" s="5"/>
    </row>
    <row r="18" spans="4:11" ht="18.5" x14ac:dyDescent="0.45">
      <c r="D18" s="4" t="s">
        <v>39</v>
      </c>
      <c r="E18" s="4"/>
      <c r="G18" s="4" t="s">
        <v>40</v>
      </c>
      <c r="H18" s="4"/>
      <c r="J18" s="4" t="s">
        <v>41</v>
      </c>
      <c r="K18" s="4"/>
    </row>
    <row r="19" spans="4:11" ht="15.5" x14ac:dyDescent="0.35">
      <c r="D19" s="5">
        <f>COUNTIF(data[Health_Status], "Sick")</f>
        <v>1</v>
      </c>
      <c r="E19" s="5"/>
      <c r="G19" s="5">
        <f>AVERAGE(data[Feed_Kg])</f>
        <v>12.9</v>
      </c>
      <c r="H19" s="5"/>
      <c r="J19" s="5">
        <f>COUNTIF(data[Vet_Visit], "yes")</f>
        <v>1</v>
      </c>
      <c r="K19" s="5"/>
    </row>
    <row r="22" spans="4:11" x14ac:dyDescent="0.35">
      <c r="D22" s="2" t="s">
        <v>43</v>
      </c>
      <c r="E22" t="s">
        <v>44</v>
      </c>
      <c r="G22" s="2" t="s">
        <v>45</v>
      </c>
      <c r="H22" t="s">
        <v>46</v>
      </c>
      <c r="J22" s="2" t="s">
        <v>8</v>
      </c>
      <c r="K22" t="s">
        <v>47</v>
      </c>
    </row>
    <row r="23" spans="4:11" x14ac:dyDescent="0.35">
      <c r="D23" s="3" t="s">
        <v>11</v>
      </c>
      <c r="E23">
        <v>76</v>
      </c>
      <c r="G23" s="3" t="s">
        <v>12</v>
      </c>
      <c r="H23">
        <v>9</v>
      </c>
      <c r="J23" s="3" t="s">
        <v>20</v>
      </c>
      <c r="K23">
        <v>15</v>
      </c>
    </row>
    <row r="24" spans="4:11" x14ac:dyDescent="0.35">
      <c r="D24" s="3" t="s">
        <v>22</v>
      </c>
      <c r="E24">
        <v>78</v>
      </c>
      <c r="G24" s="3" t="s">
        <v>30</v>
      </c>
      <c r="H24">
        <v>1</v>
      </c>
      <c r="J24" s="3" t="s">
        <v>15</v>
      </c>
      <c r="K24">
        <v>21.375</v>
      </c>
    </row>
    <row r="25" spans="4:11" x14ac:dyDescent="0.35">
      <c r="D25" s="3" t="s">
        <v>18</v>
      </c>
      <c r="E25">
        <v>46</v>
      </c>
      <c r="G25" s="3" t="s">
        <v>42</v>
      </c>
      <c r="H25">
        <v>10</v>
      </c>
      <c r="J25" s="3" t="s">
        <v>32</v>
      </c>
      <c r="K25">
        <v>14</v>
      </c>
    </row>
    <row r="26" spans="4:11" x14ac:dyDescent="0.35">
      <c r="D26" s="3" t="s">
        <v>42</v>
      </c>
      <c r="E26">
        <v>200</v>
      </c>
      <c r="J26" s="3" t="s">
        <v>42</v>
      </c>
      <c r="K26">
        <v>20</v>
      </c>
    </row>
  </sheetData>
  <mergeCells count="12">
    <mergeCell ref="D15:E15"/>
    <mergeCell ref="D16:E16"/>
    <mergeCell ref="G15:H15"/>
    <mergeCell ref="G16:H16"/>
    <mergeCell ref="J15:K15"/>
    <mergeCell ref="J16:K16"/>
    <mergeCell ref="D18:E18"/>
    <mergeCell ref="D19:E19"/>
    <mergeCell ref="G18:H18"/>
    <mergeCell ref="G19:H19"/>
    <mergeCell ref="J18:K18"/>
    <mergeCell ref="J19:K19"/>
  </mergeCells>
  <conditionalFormatting sqref="D2:D11">
    <cfRule type="cellIs" dxfId="10" priority="2" operator="lessThan">
      <formula>18</formula>
    </cfRule>
  </conditionalFormatting>
  <conditionalFormatting sqref="G2:G11">
    <cfRule type="cellIs" dxfId="9" priority="1" operator="equal">
      <formula>"yes"</formula>
    </cfRule>
  </conditionalFormatting>
  <pageMargins left="0.7" right="0.7" top="0.75" bottom="0.75" header="0.3" footer="0.3"/>
  <pageSetup orientation="portrait" r:id="rId4"/>
  <drawing r:id="rId5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00DE2A-85FF-49EA-AF56-A7210A8DA6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Chauhan</dc:creator>
  <cp:lastModifiedBy>Akshit Chauhan</cp:lastModifiedBy>
  <dcterms:created xsi:type="dcterms:W3CDTF">2026-05-19T19:01:07Z</dcterms:created>
  <dcterms:modified xsi:type="dcterms:W3CDTF">2026-05-20T06:25:21Z</dcterms:modified>
</cp:coreProperties>
</file>
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Data Science\Excel\Projects\DairyFarm\"/>
    </mc:Choice>
  </mc:AlternateContent>
  <xr:revisionPtr revIDLastSave="0" documentId="13_ncr:1_{48D12260-BA94-4AC3-AFF6-139FC17102EB}" xr6:coauthVersionLast="47" xr6:coauthVersionMax="47" xr10:uidLastSave="{00000000-0000-0000-0000-000000000000}"/>
  <bookViews>
    <workbookView xWindow="-110" yWindow="-110" windowWidth="19420" windowHeight="10300" xr2:uid="{D91EBF8E-2A7C-45AF-9576-8AAB3AD47CD9}"/>
  </bookViews>
  <sheets>
    <sheet name="Cow_data" sheetId="7" r:id="rId1"/>
  </sheets>
  <definedNames>
    <definedName name="Cow_data">data__4[]</definedName>
    <definedName name="data_4">data__4[]</definedName>
    <definedName name="ExternalData_1" localSheetId="0" hidden="1">Cow_data!$A$1:$J$51</definedName>
  </definedNames>
  <calcPr calcId="191029"/>
  <pivotCaches>
    <pivotCache cacheId="80" r:id="rId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2" i="7" l="1"/>
  <c r="D53" i="7"/>
  <c r="Z18" i="7"/>
  <c r="T7" i="7"/>
  <c r="Q7" i="7"/>
  <c r="N7" i="7"/>
  <c r="T4" i="7"/>
  <c r="Q4" i="7"/>
  <c r="N4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A276136-7568-4B07-8B60-902FEC89D1BA}" keepAlive="1" name="Query - data" description="Connection to the 'data' query in the workbook." type="5" refreshedVersion="7" background="1" saveData="1">
    <dbPr connection="Provider=Microsoft.Mashup.OleDb.1;Data Source=$Workbook$;Location=data;Extended Properties=&quot;&quot;" command="SELECT * FROM [data]"/>
  </connection>
  <connection id="2" xr16:uid="{9860A179-012B-456E-B841-F7745EC1FA65}" keepAlive="1" name="Query - data (2)" description="Connection to the 'data (2)' query in the workbook." type="5" refreshedVersion="0" background="1">
    <dbPr connection="Provider=Microsoft.Mashup.OleDb.1;Data Source=$Workbook$;Location=&quot;data (2)&quot;;Extended Properties=&quot;&quot;" command="SELECT * FROM [data (2)]"/>
  </connection>
  <connection id="3" xr16:uid="{3ECE3510-BBA5-434B-820C-F2DF7F318214}" keepAlive="1" name="Query - data (3)" description="Connection to the 'data (3)' query in the workbook." type="5" refreshedVersion="0" background="1">
    <dbPr connection="Provider=Microsoft.Mashup.OleDb.1;Data Source=$Workbook$;Location=&quot;data (3)&quot;;Extended Properties=&quot;&quot;" command="SELECT * FROM [data (3)]"/>
  </connection>
  <connection id="4" xr16:uid="{7FED12C8-5116-4BF3-9510-9127B3558A92}" keepAlive="1" name="Query - data (4)" description="Connection to the 'data (4)' query in the workbook." type="5" refreshedVersion="7" background="1" saveData="1">
    <dbPr connection="Provider=Microsoft.Mashup.OleDb.1;Data Source=$Workbook$;Location=&quot;data (4)&quot;;Extended Properties=&quot;&quot;" command="SELECT * FROM [data (4)]"/>
  </connection>
</connections>
</file>

<file path=xl/sharedStrings.xml><?xml version="1.0" encoding="utf-8"?>
<sst xmlns="http://schemas.openxmlformats.org/spreadsheetml/2006/main" count="409" uniqueCount="89">
  <si>
    <t>Date</t>
  </si>
  <si>
    <t>Cow_ID</t>
  </si>
  <si>
    <t>Breed</t>
  </si>
  <si>
    <t>Milk_Liters</t>
  </si>
  <si>
    <t>Feed_Kg</t>
  </si>
  <si>
    <t>Health_Status</t>
  </si>
  <si>
    <t>Vet_Visit</t>
  </si>
  <si>
    <t>Breeding_Status</t>
  </si>
  <si>
    <t>Department</t>
  </si>
  <si>
    <t>Shift</t>
  </si>
  <si>
    <t>C101</t>
  </si>
  <si>
    <t>Gir</t>
  </si>
  <si>
    <t>Healthy</t>
  </si>
  <si>
    <t>No</t>
  </si>
  <si>
    <t>Pregnant</t>
  </si>
  <si>
    <t>Milking</t>
  </si>
  <si>
    <t>Morning</t>
  </si>
  <si>
    <t>C106</t>
  </si>
  <si>
    <t>Jersey</t>
  </si>
  <si>
    <t>Bred</t>
  </si>
  <si>
    <t>Breeding</t>
  </si>
  <si>
    <t>C111</t>
  </si>
  <si>
    <t>HF</t>
  </si>
  <si>
    <t>C116</t>
  </si>
  <si>
    <t>Evening</t>
  </si>
  <si>
    <t>C121</t>
  </si>
  <si>
    <t>C126</t>
  </si>
  <si>
    <t>Open</t>
  </si>
  <si>
    <t>C131</t>
  </si>
  <si>
    <t>C136</t>
  </si>
  <si>
    <t>Sick</t>
  </si>
  <si>
    <t>Yes</t>
  </si>
  <si>
    <t>Veterinary</t>
  </si>
  <si>
    <t>C141</t>
  </si>
  <si>
    <t>C146</t>
  </si>
  <si>
    <t>Total Healthy Cow</t>
  </si>
  <si>
    <t>Total Sick Cows</t>
  </si>
  <si>
    <t>Vet Visits</t>
  </si>
  <si>
    <t>Grand Total</t>
  </si>
  <si>
    <t>C102</t>
  </si>
  <si>
    <t>C103</t>
  </si>
  <si>
    <t>C104</t>
  </si>
  <si>
    <t>C105</t>
  </si>
  <si>
    <t>C107</t>
  </si>
  <si>
    <t>C108</t>
  </si>
  <si>
    <t>C109</t>
  </si>
  <si>
    <t>C110</t>
  </si>
  <si>
    <t>C112</t>
  </si>
  <si>
    <t>C113</t>
  </si>
  <si>
    <t>C114</t>
  </si>
  <si>
    <t>C115</t>
  </si>
  <si>
    <t>C117</t>
  </si>
  <si>
    <t>C118</t>
  </si>
  <si>
    <t>C119</t>
  </si>
  <si>
    <t>C120</t>
  </si>
  <si>
    <t>C122</t>
  </si>
  <si>
    <t>C123</t>
  </si>
  <si>
    <t>C124</t>
  </si>
  <si>
    <t>C125</t>
  </si>
  <si>
    <t>C127</t>
  </si>
  <si>
    <t>C128</t>
  </si>
  <si>
    <t>C129</t>
  </si>
  <si>
    <t>C130</t>
  </si>
  <si>
    <t>C132</t>
  </si>
  <si>
    <t>C133</t>
  </si>
  <si>
    <t>C134</t>
  </si>
  <si>
    <t>C135</t>
  </si>
  <si>
    <t>C137</t>
  </si>
  <si>
    <t>C138</t>
  </si>
  <si>
    <t>C139</t>
  </si>
  <si>
    <t>C140</t>
  </si>
  <si>
    <t>C142</t>
  </si>
  <si>
    <t>C143</t>
  </si>
  <si>
    <t>C144</t>
  </si>
  <si>
    <t>C145</t>
  </si>
  <si>
    <t>C147</t>
  </si>
  <si>
    <t>C148</t>
  </si>
  <si>
    <t>C149</t>
  </si>
  <si>
    <t>C150</t>
  </si>
  <si>
    <t>Total Milk Production (liter)</t>
  </si>
  <si>
    <t>Row Labels</t>
  </si>
  <si>
    <t>Milk Production in liters</t>
  </si>
  <si>
    <t>Average of Milk_Liters</t>
  </si>
  <si>
    <t>Average Milk Production in liters</t>
  </si>
  <si>
    <t>Average Feed Consumption (KG)</t>
  </si>
  <si>
    <t>Average Milk Production Per Cow (liter)</t>
  </si>
  <si>
    <t>Total Milk Production in liters</t>
  </si>
  <si>
    <t>Average Milk Production In single Day</t>
  </si>
  <si>
    <t>Milk_Production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</si>
</sst>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2" fontId="0" fillId="0" borderId="0" xfId="0" applyNumberFormat="1"/>
    <xf numFmtId="0" fontId="3" fillId="2" borderId="0" xfId="0" applyFont="1" applyFill="1" applyAlignment="1">
      <alignment horizontal="center"/>
    </xf>
    <xf numFmtId="14" fontId="0" fillId="0" borderId="0" xfId="0" applyNumberFormat="1" applyAlignment="1">
      <alignment horizontal="left"/>
    </xf>
    <xf numFmtId="0" fontId="1" fillId="0" borderId="0" xfId="0" applyFont="1" applyAlignment="1">
      <alignment horizontal="center"/>
    </xf>
    <xf numFmtId="0" fontId="2" fillId="2" borderId="0" xfId="0" applyFont="1" applyFill="1"/>
  </cellXfs>
  <cellStyles count="1">
    <cellStyle name="Normal" xfId="0" builtinId="0"/>
  </cellStyles>
  <dxfs count="22">
    <dxf>
      <font>
        <color theme="0"/>
      </font>
    </dxf>
    <dxf>
      <fill>
        <patternFill patternType="solid">
          <bgColor theme="4" tint="-0.249977111117893"/>
        </patternFill>
      </fill>
    </dxf>
    <dxf>
      <fill>
        <patternFill patternType="solid">
          <bgColor theme="4" tint="-0.249977111117893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4" tint="-0.249977111117893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/>
              <a:t>Total Cows by Breed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3"/>
              <c:pt idx="0">
                <c:v>Gir</c:v>
              </c:pt>
              <c:pt idx="1">
                <c:v>HF</c:v>
              </c:pt>
              <c:pt idx="2">
                <c:v>Jersey</c:v>
              </c:pt>
            </c:strLit>
          </c:cat>
          <c:val>
            <c:numLit>
              <c:formatCode>General</c:formatCode>
              <c:ptCount val="3"/>
              <c:pt idx="0">
                <c:v>17</c:v>
              </c:pt>
              <c:pt idx="1">
                <c:v>17</c:v>
              </c:pt>
              <c:pt idx="2">
                <c:v>16</c:v>
              </c:pt>
            </c:numLit>
          </c:val>
          <c:extLst>
            <c:ext xmlns:c16="http://schemas.microsoft.com/office/drawing/2014/chart" uri="{C3380CC4-5D6E-409C-BE32-E72D297353CC}">
              <c16:uniqueId val="{00000000-B26C-4E80-AC8A-827EBEDAE3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967841160"/>
        <c:axId val="967847392"/>
      </c:barChart>
      <c:catAx>
        <c:axId val="967841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7847392"/>
        <c:crosses val="autoZero"/>
        <c:auto val="1"/>
        <c:lblAlgn val="ctr"/>
        <c:lblOffset val="100"/>
        <c:noMultiLvlLbl val="0"/>
      </c:catAx>
      <c:valAx>
        <c:axId val="967847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7841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Milk Production Over Days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numRef>
              <c:f>Cow_data!$A$2:$A$51</c:f>
              <c:numCache>
                <c:formatCode>m/d/yyyy</c:formatCode>
                <c:ptCount val="50"/>
                <c:pt idx="0">
                  <c:v>46143</c:v>
                </c:pt>
                <c:pt idx="1">
                  <c:v>46143</c:v>
                </c:pt>
                <c:pt idx="2">
                  <c:v>46143</c:v>
                </c:pt>
                <c:pt idx="3">
                  <c:v>46143</c:v>
                </c:pt>
                <c:pt idx="4">
                  <c:v>46143</c:v>
                </c:pt>
                <c:pt idx="5">
                  <c:v>46144</c:v>
                </c:pt>
                <c:pt idx="6">
                  <c:v>46144</c:v>
                </c:pt>
                <c:pt idx="7">
                  <c:v>46144</c:v>
                </c:pt>
                <c:pt idx="8">
                  <c:v>46144</c:v>
                </c:pt>
                <c:pt idx="9">
                  <c:v>46144</c:v>
                </c:pt>
                <c:pt idx="10">
                  <c:v>46145</c:v>
                </c:pt>
                <c:pt idx="11">
                  <c:v>46145</c:v>
                </c:pt>
                <c:pt idx="12">
                  <c:v>46145</c:v>
                </c:pt>
                <c:pt idx="13">
                  <c:v>46145</c:v>
                </c:pt>
                <c:pt idx="14">
                  <c:v>46145</c:v>
                </c:pt>
                <c:pt idx="15">
                  <c:v>46146</c:v>
                </c:pt>
                <c:pt idx="16">
                  <c:v>46146</c:v>
                </c:pt>
                <c:pt idx="17">
                  <c:v>46146</c:v>
                </c:pt>
                <c:pt idx="18">
                  <c:v>46146</c:v>
                </c:pt>
                <c:pt idx="19">
                  <c:v>46146</c:v>
                </c:pt>
                <c:pt idx="20">
                  <c:v>46147</c:v>
                </c:pt>
                <c:pt idx="21">
                  <c:v>46147</c:v>
                </c:pt>
                <c:pt idx="22">
                  <c:v>46147</c:v>
                </c:pt>
                <c:pt idx="23">
                  <c:v>46147</c:v>
                </c:pt>
                <c:pt idx="24">
                  <c:v>46147</c:v>
                </c:pt>
                <c:pt idx="25">
                  <c:v>46148</c:v>
                </c:pt>
                <c:pt idx="26">
                  <c:v>46148</c:v>
                </c:pt>
                <c:pt idx="27">
                  <c:v>46148</c:v>
                </c:pt>
                <c:pt idx="28">
                  <c:v>46148</c:v>
                </c:pt>
                <c:pt idx="29">
                  <c:v>46148</c:v>
                </c:pt>
                <c:pt idx="30">
                  <c:v>46149</c:v>
                </c:pt>
                <c:pt idx="31">
                  <c:v>46149</c:v>
                </c:pt>
                <c:pt idx="32">
                  <c:v>46149</c:v>
                </c:pt>
                <c:pt idx="33">
                  <c:v>46149</c:v>
                </c:pt>
                <c:pt idx="34">
                  <c:v>46149</c:v>
                </c:pt>
                <c:pt idx="35">
                  <c:v>46150</c:v>
                </c:pt>
                <c:pt idx="36">
                  <c:v>46150</c:v>
                </c:pt>
                <c:pt idx="37">
                  <c:v>46150</c:v>
                </c:pt>
                <c:pt idx="38">
                  <c:v>46150</c:v>
                </c:pt>
                <c:pt idx="39">
                  <c:v>46150</c:v>
                </c:pt>
                <c:pt idx="40">
                  <c:v>46151</c:v>
                </c:pt>
                <c:pt idx="41">
                  <c:v>46151</c:v>
                </c:pt>
                <c:pt idx="42">
                  <c:v>46151</c:v>
                </c:pt>
                <c:pt idx="43">
                  <c:v>46151</c:v>
                </c:pt>
                <c:pt idx="44">
                  <c:v>46151</c:v>
                </c:pt>
                <c:pt idx="45">
                  <c:v>46152</c:v>
                </c:pt>
                <c:pt idx="46">
                  <c:v>46152</c:v>
                </c:pt>
                <c:pt idx="47">
                  <c:v>46152</c:v>
                </c:pt>
                <c:pt idx="48">
                  <c:v>46152</c:v>
                </c:pt>
                <c:pt idx="49">
                  <c:v>46152</c:v>
                </c:pt>
              </c:numCache>
            </c:numRef>
          </c:cat>
          <c:val>
            <c:numRef>
              <c:f>Cow_data!$D$2:$D$51</c:f>
              <c:numCache>
                <c:formatCode>General</c:formatCode>
                <c:ptCount val="50"/>
                <c:pt idx="0">
                  <c:v>18</c:v>
                </c:pt>
                <c:pt idx="1">
                  <c:v>22</c:v>
                </c:pt>
                <c:pt idx="2">
                  <c:v>16</c:v>
                </c:pt>
                <c:pt idx="3">
                  <c:v>20</c:v>
                </c:pt>
                <c:pt idx="4">
                  <c:v>25</c:v>
                </c:pt>
                <c:pt idx="5">
                  <c:v>15</c:v>
                </c:pt>
                <c:pt idx="6">
                  <c:v>19</c:v>
                </c:pt>
                <c:pt idx="7">
                  <c:v>24</c:v>
                </c:pt>
                <c:pt idx="8">
                  <c:v>17</c:v>
                </c:pt>
                <c:pt idx="9">
                  <c:v>21</c:v>
                </c:pt>
                <c:pt idx="10">
                  <c:v>26</c:v>
                </c:pt>
                <c:pt idx="11">
                  <c:v>14</c:v>
                </c:pt>
                <c:pt idx="12">
                  <c:v>18</c:v>
                </c:pt>
                <c:pt idx="13">
                  <c:v>23</c:v>
                </c:pt>
                <c:pt idx="14">
                  <c:v>16</c:v>
                </c:pt>
                <c:pt idx="15">
                  <c:v>20</c:v>
                </c:pt>
                <c:pt idx="16">
                  <c:v>27</c:v>
                </c:pt>
                <c:pt idx="17">
                  <c:v>15</c:v>
                </c:pt>
                <c:pt idx="18">
                  <c:v>19</c:v>
                </c:pt>
                <c:pt idx="19">
                  <c:v>24</c:v>
                </c:pt>
                <c:pt idx="20">
                  <c:v>17</c:v>
                </c:pt>
                <c:pt idx="21">
                  <c:v>18</c:v>
                </c:pt>
                <c:pt idx="22">
                  <c:v>25</c:v>
                </c:pt>
                <c:pt idx="23">
                  <c:v>16</c:v>
                </c:pt>
                <c:pt idx="24">
                  <c:v>20</c:v>
                </c:pt>
                <c:pt idx="25">
                  <c:v>26</c:v>
                </c:pt>
                <c:pt idx="26">
                  <c:v>15</c:v>
                </c:pt>
                <c:pt idx="27">
                  <c:v>19</c:v>
                </c:pt>
                <c:pt idx="28">
                  <c:v>24</c:v>
                </c:pt>
                <c:pt idx="29">
                  <c:v>17</c:v>
                </c:pt>
                <c:pt idx="30">
                  <c:v>18</c:v>
                </c:pt>
                <c:pt idx="31">
                  <c:v>27</c:v>
                </c:pt>
                <c:pt idx="32">
                  <c:v>16</c:v>
                </c:pt>
                <c:pt idx="33">
                  <c:v>20</c:v>
                </c:pt>
                <c:pt idx="34">
                  <c:v>25</c:v>
                </c:pt>
                <c:pt idx="35">
                  <c:v>14</c:v>
                </c:pt>
                <c:pt idx="36">
                  <c:v>19</c:v>
                </c:pt>
                <c:pt idx="37">
                  <c:v>24</c:v>
                </c:pt>
                <c:pt idx="38">
                  <c:v>17</c:v>
                </c:pt>
                <c:pt idx="39">
                  <c:v>21</c:v>
                </c:pt>
                <c:pt idx="40">
                  <c:v>26</c:v>
                </c:pt>
                <c:pt idx="41">
                  <c:v>15</c:v>
                </c:pt>
                <c:pt idx="42">
                  <c:v>18</c:v>
                </c:pt>
                <c:pt idx="43">
                  <c:v>23</c:v>
                </c:pt>
                <c:pt idx="44">
                  <c:v>16</c:v>
                </c:pt>
                <c:pt idx="45">
                  <c:v>20</c:v>
                </c:pt>
                <c:pt idx="46">
                  <c:v>27</c:v>
                </c:pt>
                <c:pt idx="47">
                  <c:v>15</c:v>
                </c:pt>
                <c:pt idx="48">
                  <c:v>19</c:v>
                </c:pt>
                <c:pt idx="49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67-4D86-8C63-330460DA98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7322864"/>
        <c:axId val="447321552"/>
      </c:areaChart>
      <c:dateAx>
        <c:axId val="44732286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321552"/>
        <c:crosses val="autoZero"/>
        <c:auto val="1"/>
        <c:lblOffset val="100"/>
        <c:baseTimeUnit val="days"/>
      </c:dateAx>
      <c:valAx>
        <c:axId val="44732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322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Health</a:t>
            </a:r>
            <a:r>
              <a:rPr lang="en-US" baseline="0"/>
              <a:t> </a:t>
            </a:r>
            <a:r>
              <a:rPr lang="en-US"/>
              <a:t>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A00-4AE9-9ACF-3B6DB6D6E8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A00-4AE9-9ACF-3B6DB6D6E82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2"/>
              <c:pt idx="0">
                <c:v>Healthy</c:v>
              </c:pt>
              <c:pt idx="1">
                <c:v>Sick</c:v>
              </c:pt>
            </c:strLit>
          </c:cat>
          <c:val>
            <c:numLit>
              <c:formatCode>General</c:formatCode>
              <c:ptCount val="2"/>
              <c:pt idx="0">
                <c:v>40</c:v>
              </c:pt>
              <c:pt idx="1">
                <c:v>10</c:v>
              </c:pt>
            </c:numLit>
          </c:val>
          <c:extLst>
            <c:ext xmlns:c16="http://schemas.microsoft.com/office/drawing/2014/chart" uri="{C3380CC4-5D6E-409C-BE32-E72D297353CC}">
              <c16:uniqueId val="{00000004-2A00-4AE9-9ACF-3B6DB6D6E82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[Dairy Farm Operations Analytics.xlsx]Cow_data!PivotTable1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Milk Production by Cow Breed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diamond"/>
          <c:size val="5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Cow_data!$O$10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Cow_data!$N$11:$N$14</c:f>
              <c:strCache>
                <c:ptCount val="3"/>
                <c:pt idx="0">
                  <c:v>Gir</c:v>
                </c:pt>
                <c:pt idx="1">
                  <c:v>HF</c:v>
                </c:pt>
                <c:pt idx="2">
                  <c:v>Jersey</c:v>
                </c:pt>
              </c:strCache>
            </c:strRef>
          </c:cat>
          <c:val>
            <c:numRef>
              <c:f>Cow_data!$O$11:$O$14</c:f>
              <c:numCache>
                <c:formatCode>General</c:formatCode>
                <c:ptCount val="3"/>
                <c:pt idx="0">
                  <c:v>327</c:v>
                </c:pt>
                <c:pt idx="1">
                  <c:v>422</c:v>
                </c:pt>
                <c:pt idx="2">
                  <c:v>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C6-4E35-8753-697F258E6E8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365098392"/>
        <c:axId val="365101016"/>
      </c:barChart>
      <c:catAx>
        <c:axId val="365098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5101016"/>
        <c:crosses val="autoZero"/>
        <c:auto val="1"/>
        <c:lblAlgn val="ctr"/>
        <c:lblOffset val="100"/>
        <c:noMultiLvlLbl val="0"/>
      </c:catAx>
      <c:valAx>
        <c:axId val="365101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5098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[Dairy Farm Operations Analytics.xlsx]Cow_data!PivotTable53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Milk Production By Health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Cow_data!$X$31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Cow_data!$W$32:$W$34</c:f>
              <c:strCache>
                <c:ptCount val="2"/>
                <c:pt idx="0">
                  <c:v>Healthy</c:v>
                </c:pt>
                <c:pt idx="1">
                  <c:v>Sick</c:v>
                </c:pt>
              </c:strCache>
            </c:strRef>
          </c:cat>
          <c:val>
            <c:numRef>
              <c:f>Cow_data!$X$32:$X$34</c:f>
              <c:numCache>
                <c:formatCode>General</c:formatCode>
                <c:ptCount val="2"/>
                <c:pt idx="0">
                  <c:v>20.6</c:v>
                </c:pt>
                <c:pt idx="1">
                  <c:v>17.600000000000001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82-471F-94CD-EE947C3CC90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85215824"/>
        <c:axId val="1085212216"/>
      </c:barChart>
      <c:catAx>
        <c:axId val="1085215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5212216"/>
        <c:crosses val="autoZero"/>
        <c:auto val="1"/>
        <c:lblAlgn val="ctr"/>
        <c:lblOffset val="100"/>
        <c:noMultiLvlLbl val="0"/>
      </c:catAx>
      <c:valAx>
        <c:axId val="1085212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521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510886</xdr:colOff>
      <xdr:row>15</xdr:row>
      <xdr:rowOff>98137</xdr:rowOff>
    </xdr:from>
    <xdr:to>
      <xdr:col>17</xdr:col>
      <xdr:colOff>720436</xdr:colOff>
      <xdr:row>29</xdr:row>
      <xdr:rowOff>47337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5897F0-1B06-4374-A7EA-D0D1CB62DD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908650</xdr:colOff>
      <xdr:row>15</xdr:row>
      <xdr:rowOff>98535</xdr:rowOff>
    </xdr:from>
    <xdr:to>
      <xdr:col>21</xdr:col>
      <xdr:colOff>361293</xdr:colOff>
      <xdr:row>29</xdr:row>
      <xdr:rowOff>43793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8BA92C-AF6F-46D1-93D3-09D0184C77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510304</xdr:colOff>
      <xdr:row>30</xdr:row>
      <xdr:rowOff>44355</xdr:rowOff>
    </xdr:from>
    <xdr:to>
      <xdr:col>17</xdr:col>
      <xdr:colOff>724297</xdr:colOff>
      <xdr:row>47</xdr:row>
      <xdr:rowOff>31643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5A3713D-04CB-45DA-9C91-FE6B14AA63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739</xdr:colOff>
      <xdr:row>1</xdr:row>
      <xdr:rowOff>138677</xdr:rowOff>
    </xdr:from>
    <xdr:to>
      <xdr:col>28</xdr:col>
      <xdr:colOff>285751</xdr:colOff>
      <xdr:row>10</xdr:row>
      <xdr:rowOff>58486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AD017678-9D84-4065-A594-A27E58987529}"/>
            </a:ext>
          </a:extLst>
        </xdr:cNvPr>
        <xdr:cNvSpPr txBox="1"/>
      </xdr:nvSpPr>
      <xdr:spPr>
        <a:xfrm>
          <a:off x="19516406" y="318594"/>
          <a:ext cx="5576678" cy="1750725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>
              <a:latin typeface="Segoe UI Semibold" panose="020B0702040204020203" pitchFamily="34" charset="0"/>
              <a:cs typeface="Segoe UI Semibold" panose="020B0702040204020203" pitchFamily="34" charset="0"/>
            </a:rPr>
            <a:t>-</a:t>
          </a:r>
          <a:r>
            <a:rPr lang="en-US" sz="1400" baseline="0">
              <a:latin typeface="Segoe UI Semibold" panose="020B0702040204020203" pitchFamily="34" charset="0"/>
              <a:cs typeface="Segoe UI Semibold" panose="020B0702040204020203" pitchFamily="34" charset="0"/>
            </a:rPr>
            <a:t> </a:t>
          </a:r>
          <a:r>
            <a:rPr lang="en-US" sz="1400">
              <a:latin typeface="Segoe UI Semibold" panose="020B0702040204020203" pitchFamily="34" charset="0"/>
              <a:cs typeface="Segoe UI Semibold" panose="020B0702040204020203" pitchFamily="34" charset="0"/>
            </a:rPr>
            <a:t>HF Cow Produces more Milk compare to</a:t>
          </a:r>
          <a:r>
            <a:rPr lang="en-US" sz="1400" baseline="0">
              <a:latin typeface="Segoe UI Semibold" panose="020B0702040204020203" pitchFamily="34" charset="0"/>
              <a:cs typeface="Segoe UI Semibold" panose="020B0702040204020203" pitchFamily="34" charset="0"/>
            </a:rPr>
            <a:t> Gir and Jersey Breed.</a:t>
          </a:r>
        </a:p>
        <a:p>
          <a:r>
            <a:rPr lang="en-US" sz="1400" baseline="0">
              <a:latin typeface="Segoe UI Semibold" panose="020B0702040204020203" pitchFamily="34" charset="0"/>
              <a:cs typeface="Segoe UI Semibold" panose="020B0702040204020203" pitchFamily="34" charset="0"/>
            </a:rPr>
            <a:t>- Average Milk Production per cow is 20 Liters.</a:t>
          </a:r>
        </a:p>
        <a:p>
          <a:r>
            <a:rPr lang="en-US" sz="1400" baseline="0">
              <a:latin typeface="Segoe UI Semibold" panose="020B0702040204020203" pitchFamily="34" charset="0"/>
              <a:cs typeface="Segoe UI Semibold" panose="020B0702040204020203" pitchFamily="34" charset="0"/>
            </a:rPr>
            <a:t>- Average Milk Production In a single day is 100 Liters.</a:t>
          </a:r>
        </a:p>
        <a:p>
          <a:r>
            <a:rPr lang="en-US" sz="1400" baseline="0">
              <a:latin typeface="Segoe UI Semibold" panose="020B0702040204020203" pitchFamily="34" charset="0"/>
              <a:cs typeface="Segoe UI Semibold" panose="020B0702040204020203" pitchFamily="34" charset="0"/>
            </a:rPr>
            <a:t>- Currently 80% of the Cow are Healthy.</a:t>
          </a:r>
        </a:p>
        <a:p>
          <a:r>
            <a:rPr lang="en-US" sz="1400" baseline="0">
              <a:latin typeface="Segoe UI Semibold" panose="020B0702040204020203" pitchFamily="34" charset="0"/>
              <a:cs typeface="Segoe UI Semibold" panose="020B0702040204020203" pitchFamily="34" charset="0"/>
            </a:rPr>
            <a:t>- Sick Cows produce lower average milk.</a:t>
          </a:r>
        </a:p>
        <a:p>
          <a:r>
            <a:rPr lang="en-US" sz="1400" baseline="0">
              <a:latin typeface="Segoe UI Semibold" panose="020B0702040204020203" pitchFamily="34" charset="0"/>
              <a:cs typeface="Segoe UI Semibold" panose="020B0702040204020203" pitchFamily="34" charset="0"/>
            </a:rPr>
            <a:t>- Average Feed Consumption is 12.76 KG.</a:t>
          </a:r>
        </a:p>
        <a:p>
          <a:r>
            <a:rPr lang="en-US" sz="1400" baseline="0">
              <a:latin typeface="Segoe UI Semibold" panose="020B0702040204020203" pitchFamily="34" charset="0"/>
              <a:cs typeface="Segoe UI Semibold" panose="020B0702040204020203" pitchFamily="34" charset="0"/>
            </a:rPr>
            <a:t>- Morning Shift Milk Production is slightly higher.</a:t>
          </a:r>
          <a:endParaRPr lang="en-US" sz="1400">
            <a:latin typeface="Segoe UI Semibold" panose="020B0702040204020203" pitchFamily="34" charset="0"/>
            <a:cs typeface="Segoe UI Semibold" panose="020B0702040204020203" pitchFamily="34" charset="0"/>
          </a:endParaRPr>
        </a:p>
      </xdr:txBody>
    </xdr:sp>
    <xdr:clientData/>
  </xdr:twoCellAnchor>
  <xdr:twoCellAnchor>
    <xdr:from>
      <xdr:col>17</xdr:col>
      <xdr:colOff>912813</xdr:colOff>
      <xdr:row>30</xdr:row>
      <xdr:rowOff>39688</xdr:rowOff>
    </xdr:from>
    <xdr:to>
      <xdr:col>21</xdr:col>
      <xdr:colOff>357188</xdr:colOff>
      <xdr:row>46</xdr:row>
      <xdr:rowOff>148828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184337A-1518-406A-A2FA-97E99C2024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2096</xdr:colOff>
      <xdr:row>30</xdr:row>
      <xdr:rowOff>12501</xdr:rowOff>
    </xdr:from>
    <xdr:to>
      <xdr:col>27</xdr:col>
      <xdr:colOff>497290</xdr:colOff>
      <xdr:row>46</xdr:row>
      <xdr:rowOff>183614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9A2A68E-01D2-44DD-B044-C648C8628B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kshit Chauhan" refreshedDate="46163.423439120372" createdVersion="7" refreshedVersion="7" minRefreshableVersion="3" recordCount="50" xr:uid="{D1158711-1E0D-4054-84A2-EF00687E1B51}">
  <cacheSource type="worksheet">
    <worksheetSource name="data__4"/>
  </cacheSource>
  <cacheFields count="10">
    <cacheField name="Date" numFmtId="14">
      <sharedItems containsSemiMixedTypes="0" containsNonDate="0" containsDate="1" containsString="0" minDate="2026-05-01T00:00:00" maxDate="2026-05-11T00:00:00" count="10"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</sharedItems>
    </cacheField>
    <cacheField name="Cow_ID" numFmtId="0">
      <sharedItems count="50">
        <s v="C101"/>
        <s v="C102"/>
        <s v="C103"/>
        <s v="C104"/>
        <s v="C105"/>
        <s v="C106"/>
        <s v="C107"/>
        <s v="C108"/>
        <s v="C109"/>
        <s v="C110"/>
        <s v="C111"/>
        <s v="C112"/>
        <s v="C113"/>
        <s v="C114"/>
        <s v="C115"/>
        <s v="C116"/>
        <s v="C117"/>
        <s v="C118"/>
        <s v="C119"/>
        <s v="C120"/>
        <s v="C121"/>
        <s v="C122"/>
        <s v="C123"/>
        <s v="C124"/>
        <s v="C125"/>
        <s v="C126"/>
        <s v="C127"/>
        <s v="C128"/>
        <s v="C129"/>
        <s v="C130"/>
        <s v="C131"/>
        <s v="C132"/>
        <s v="C133"/>
        <s v="C134"/>
        <s v="C135"/>
        <s v="C136"/>
        <s v="C137"/>
        <s v="C138"/>
        <s v="C139"/>
        <s v="C140"/>
        <s v="C141"/>
        <s v="C142"/>
        <s v="C143"/>
        <s v="C144"/>
        <s v="C145"/>
        <s v="C146"/>
        <s v="C147"/>
        <s v="C148"/>
        <s v="C149"/>
        <s v="C150"/>
      </sharedItems>
    </cacheField>
    <cacheField name="Breed" numFmtId="0">
      <sharedItems count="3">
        <s v="Gir"/>
        <s v="HF"/>
        <s v="Jersey"/>
      </sharedItems>
    </cacheField>
    <cacheField name="Milk_Liters" numFmtId="0">
      <sharedItems containsSemiMixedTypes="0" containsString="0" containsNumber="1" containsInteger="1" minValue="14" maxValue="27"/>
    </cacheField>
    <cacheField name="Feed_Kg" numFmtId="0">
      <sharedItems containsSemiMixedTypes="0" containsString="0" containsNumber="1" containsInteger="1" minValue="10" maxValue="16"/>
    </cacheField>
    <cacheField name="Health_Status" numFmtId="0">
      <sharedItems count="2">
        <s v="Healthy"/>
        <s v="Sick"/>
      </sharedItems>
    </cacheField>
    <cacheField name="Vet_Visit" numFmtId="0">
      <sharedItems/>
    </cacheField>
    <cacheField name="Breeding_Status" numFmtId="0">
      <sharedItems/>
    </cacheField>
    <cacheField name="Department" numFmtId="0">
      <sharedItems count="3">
        <s v="Milking"/>
        <s v="Veterinary"/>
        <s v="Breeding"/>
      </sharedItems>
    </cacheField>
    <cacheField name="Shift" numFmtId="0">
      <sharedItems count="2">
        <s v="Morning"/>
        <s v="Evenin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x v="0"/>
    <x v="0"/>
    <n v="18"/>
    <n v="12"/>
    <x v="0"/>
    <s v="No"/>
    <s v="Pregnant"/>
    <x v="0"/>
    <x v="0"/>
  </r>
  <r>
    <x v="0"/>
    <x v="1"/>
    <x v="1"/>
    <n v="22"/>
    <n v="14"/>
    <x v="0"/>
    <s v="No"/>
    <s v="Open"/>
    <x v="0"/>
    <x v="1"/>
  </r>
  <r>
    <x v="0"/>
    <x v="2"/>
    <x v="2"/>
    <n v="16"/>
    <n v="11"/>
    <x v="1"/>
    <s v="Yes"/>
    <s v="Open"/>
    <x v="1"/>
    <x v="0"/>
  </r>
  <r>
    <x v="0"/>
    <x v="3"/>
    <x v="0"/>
    <n v="20"/>
    <n v="13"/>
    <x v="0"/>
    <s v="No"/>
    <s v="Pregnant"/>
    <x v="0"/>
    <x v="1"/>
  </r>
  <r>
    <x v="0"/>
    <x v="4"/>
    <x v="1"/>
    <n v="25"/>
    <n v="15"/>
    <x v="0"/>
    <s v="No"/>
    <s v="Open"/>
    <x v="0"/>
    <x v="0"/>
  </r>
  <r>
    <x v="1"/>
    <x v="5"/>
    <x v="2"/>
    <n v="15"/>
    <n v="10"/>
    <x v="0"/>
    <s v="No"/>
    <s v="Bred"/>
    <x v="2"/>
    <x v="0"/>
  </r>
  <r>
    <x v="1"/>
    <x v="6"/>
    <x v="0"/>
    <n v="19"/>
    <n v="12"/>
    <x v="1"/>
    <s v="Yes"/>
    <s v="Open"/>
    <x v="1"/>
    <x v="1"/>
  </r>
  <r>
    <x v="1"/>
    <x v="7"/>
    <x v="1"/>
    <n v="24"/>
    <n v="15"/>
    <x v="0"/>
    <s v="No"/>
    <s v="Pregnant"/>
    <x v="0"/>
    <x v="0"/>
  </r>
  <r>
    <x v="1"/>
    <x v="8"/>
    <x v="2"/>
    <n v="17"/>
    <n v="11"/>
    <x v="0"/>
    <s v="No"/>
    <s v="Open"/>
    <x v="0"/>
    <x v="1"/>
  </r>
  <r>
    <x v="1"/>
    <x v="9"/>
    <x v="0"/>
    <n v="21"/>
    <n v="13"/>
    <x v="0"/>
    <s v="No"/>
    <s v="Bred"/>
    <x v="0"/>
    <x v="0"/>
  </r>
  <r>
    <x v="2"/>
    <x v="10"/>
    <x v="1"/>
    <n v="26"/>
    <n v="16"/>
    <x v="0"/>
    <s v="No"/>
    <s v="Pregnant"/>
    <x v="0"/>
    <x v="0"/>
  </r>
  <r>
    <x v="2"/>
    <x v="11"/>
    <x v="2"/>
    <n v="14"/>
    <n v="10"/>
    <x v="1"/>
    <s v="Yes"/>
    <s v="Open"/>
    <x v="1"/>
    <x v="1"/>
  </r>
  <r>
    <x v="2"/>
    <x v="12"/>
    <x v="0"/>
    <n v="18"/>
    <n v="12"/>
    <x v="0"/>
    <s v="No"/>
    <s v="Bred"/>
    <x v="2"/>
    <x v="0"/>
  </r>
  <r>
    <x v="2"/>
    <x v="13"/>
    <x v="1"/>
    <n v="23"/>
    <n v="14"/>
    <x v="0"/>
    <s v="No"/>
    <s v="Pregnant"/>
    <x v="0"/>
    <x v="1"/>
  </r>
  <r>
    <x v="2"/>
    <x v="14"/>
    <x v="2"/>
    <n v="16"/>
    <n v="11"/>
    <x v="0"/>
    <s v="No"/>
    <s v="Open"/>
    <x v="0"/>
    <x v="0"/>
  </r>
  <r>
    <x v="3"/>
    <x v="15"/>
    <x v="0"/>
    <n v="20"/>
    <n v="13"/>
    <x v="0"/>
    <s v="No"/>
    <s v="Bred"/>
    <x v="0"/>
    <x v="1"/>
  </r>
  <r>
    <x v="3"/>
    <x v="16"/>
    <x v="1"/>
    <n v="27"/>
    <n v="16"/>
    <x v="0"/>
    <s v="No"/>
    <s v="Pregnant"/>
    <x v="0"/>
    <x v="0"/>
  </r>
  <r>
    <x v="3"/>
    <x v="17"/>
    <x v="2"/>
    <n v="15"/>
    <n v="10"/>
    <x v="1"/>
    <s v="Yes"/>
    <s v="Open"/>
    <x v="1"/>
    <x v="1"/>
  </r>
  <r>
    <x v="3"/>
    <x v="18"/>
    <x v="0"/>
    <n v="19"/>
    <n v="12"/>
    <x v="0"/>
    <s v="No"/>
    <s v="Bred"/>
    <x v="2"/>
    <x v="0"/>
  </r>
  <r>
    <x v="3"/>
    <x v="19"/>
    <x v="1"/>
    <n v="24"/>
    <n v="15"/>
    <x v="0"/>
    <s v="No"/>
    <s v="Open"/>
    <x v="0"/>
    <x v="1"/>
  </r>
  <r>
    <x v="4"/>
    <x v="20"/>
    <x v="2"/>
    <n v="17"/>
    <n v="11"/>
    <x v="0"/>
    <s v="No"/>
    <s v="Pregnant"/>
    <x v="0"/>
    <x v="0"/>
  </r>
  <r>
    <x v="4"/>
    <x v="21"/>
    <x v="0"/>
    <n v="18"/>
    <n v="12"/>
    <x v="0"/>
    <s v="No"/>
    <s v="Bred"/>
    <x v="0"/>
    <x v="1"/>
  </r>
  <r>
    <x v="4"/>
    <x v="22"/>
    <x v="1"/>
    <n v="25"/>
    <n v="15"/>
    <x v="1"/>
    <s v="Yes"/>
    <s v="Open"/>
    <x v="1"/>
    <x v="0"/>
  </r>
  <r>
    <x v="4"/>
    <x v="23"/>
    <x v="2"/>
    <n v="16"/>
    <n v="11"/>
    <x v="0"/>
    <s v="No"/>
    <s v="Pregnant"/>
    <x v="0"/>
    <x v="1"/>
  </r>
  <r>
    <x v="4"/>
    <x v="24"/>
    <x v="0"/>
    <n v="20"/>
    <n v="13"/>
    <x v="0"/>
    <s v="No"/>
    <s v="Bred"/>
    <x v="2"/>
    <x v="0"/>
  </r>
  <r>
    <x v="5"/>
    <x v="25"/>
    <x v="1"/>
    <n v="26"/>
    <n v="16"/>
    <x v="0"/>
    <s v="No"/>
    <s v="Open"/>
    <x v="0"/>
    <x v="1"/>
  </r>
  <r>
    <x v="5"/>
    <x v="26"/>
    <x v="2"/>
    <n v="15"/>
    <n v="10"/>
    <x v="1"/>
    <s v="Yes"/>
    <s v="Pregnant"/>
    <x v="1"/>
    <x v="0"/>
  </r>
  <r>
    <x v="5"/>
    <x v="27"/>
    <x v="0"/>
    <n v="19"/>
    <n v="12"/>
    <x v="0"/>
    <s v="No"/>
    <s v="Bred"/>
    <x v="0"/>
    <x v="1"/>
  </r>
  <r>
    <x v="5"/>
    <x v="28"/>
    <x v="1"/>
    <n v="24"/>
    <n v="15"/>
    <x v="0"/>
    <s v="No"/>
    <s v="Open"/>
    <x v="0"/>
    <x v="0"/>
  </r>
  <r>
    <x v="5"/>
    <x v="29"/>
    <x v="2"/>
    <n v="17"/>
    <n v="11"/>
    <x v="0"/>
    <s v="No"/>
    <s v="Pregnant"/>
    <x v="2"/>
    <x v="1"/>
  </r>
  <r>
    <x v="6"/>
    <x v="30"/>
    <x v="0"/>
    <n v="18"/>
    <n v="12"/>
    <x v="0"/>
    <s v="No"/>
    <s v="Bred"/>
    <x v="0"/>
    <x v="0"/>
  </r>
  <r>
    <x v="6"/>
    <x v="31"/>
    <x v="1"/>
    <n v="27"/>
    <n v="16"/>
    <x v="0"/>
    <s v="No"/>
    <s v="Open"/>
    <x v="0"/>
    <x v="1"/>
  </r>
  <r>
    <x v="6"/>
    <x v="32"/>
    <x v="2"/>
    <n v="16"/>
    <n v="11"/>
    <x v="1"/>
    <s v="Yes"/>
    <s v="Pregnant"/>
    <x v="1"/>
    <x v="0"/>
  </r>
  <r>
    <x v="6"/>
    <x v="33"/>
    <x v="0"/>
    <n v="20"/>
    <n v="13"/>
    <x v="0"/>
    <s v="No"/>
    <s v="Bred"/>
    <x v="2"/>
    <x v="1"/>
  </r>
  <r>
    <x v="6"/>
    <x v="34"/>
    <x v="1"/>
    <n v="25"/>
    <n v="15"/>
    <x v="0"/>
    <s v="No"/>
    <s v="Open"/>
    <x v="0"/>
    <x v="0"/>
  </r>
  <r>
    <x v="7"/>
    <x v="35"/>
    <x v="2"/>
    <n v="14"/>
    <n v="10"/>
    <x v="1"/>
    <s v="Yes"/>
    <s v="Pregnant"/>
    <x v="1"/>
    <x v="1"/>
  </r>
  <r>
    <x v="7"/>
    <x v="36"/>
    <x v="0"/>
    <n v="19"/>
    <n v="12"/>
    <x v="0"/>
    <s v="No"/>
    <s v="Bred"/>
    <x v="0"/>
    <x v="0"/>
  </r>
  <r>
    <x v="7"/>
    <x v="37"/>
    <x v="1"/>
    <n v="24"/>
    <n v="15"/>
    <x v="0"/>
    <s v="No"/>
    <s v="Open"/>
    <x v="0"/>
    <x v="1"/>
  </r>
  <r>
    <x v="7"/>
    <x v="38"/>
    <x v="2"/>
    <n v="17"/>
    <n v="11"/>
    <x v="0"/>
    <s v="No"/>
    <s v="Pregnant"/>
    <x v="2"/>
    <x v="0"/>
  </r>
  <r>
    <x v="7"/>
    <x v="39"/>
    <x v="0"/>
    <n v="21"/>
    <n v="13"/>
    <x v="0"/>
    <s v="No"/>
    <s v="Bred"/>
    <x v="0"/>
    <x v="1"/>
  </r>
  <r>
    <x v="8"/>
    <x v="40"/>
    <x v="1"/>
    <n v="26"/>
    <n v="16"/>
    <x v="0"/>
    <s v="No"/>
    <s v="Open"/>
    <x v="0"/>
    <x v="0"/>
  </r>
  <r>
    <x v="8"/>
    <x v="41"/>
    <x v="2"/>
    <n v="15"/>
    <n v="10"/>
    <x v="1"/>
    <s v="Yes"/>
    <s v="Pregnant"/>
    <x v="1"/>
    <x v="1"/>
  </r>
  <r>
    <x v="8"/>
    <x v="42"/>
    <x v="0"/>
    <n v="18"/>
    <n v="12"/>
    <x v="0"/>
    <s v="No"/>
    <s v="Bred"/>
    <x v="2"/>
    <x v="0"/>
  </r>
  <r>
    <x v="8"/>
    <x v="43"/>
    <x v="1"/>
    <n v="23"/>
    <n v="14"/>
    <x v="0"/>
    <s v="No"/>
    <s v="Open"/>
    <x v="0"/>
    <x v="1"/>
  </r>
  <r>
    <x v="8"/>
    <x v="44"/>
    <x v="2"/>
    <n v="16"/>
    <n v="11"/>
    <x v="0"/>
    <s v="No"/>
    <s v="Pregnant"/>
    <x v="0"/>
    <x v="0"/>
  </r>
  <r>
    <x v="9"/>
    <x v="45"/>
    <x v="0"/>
    <n v="20"/>
    <n v="13"/>
    <x v="0"/>
    <s v="No"/>
    <s v="Bred"/>
    <x v="0"/>
    <x v="1"/>
  </r>
  <r>
    <x v="9"/>
    <x v="46"/>
    <x v="1"/>
    <n v="27"/>
    <n v="16"/>
    <x v="1"/>
    <s v="Yes"/>
    <s v="Open"/>
    <x v="1"/>
    <x v="0"/>
  </r>
  <r>
    <x v="9"/>
    <x v="47"/>
    <x v="2"/>
    <n v="15"/>
    <n v="10"/>
    <x v="0"/>
    <s v="No"/>
    <s v="Pregnant"/>
    <x v="2"/>
    <x v="1"/>
  </r>
  <r>
    <x v="9"/>
    <x v="48"/>
    <x v="0"/>
    <n v="19"/>
    <n v="12"/>
    <x v="0"/>
    <s v="No"/>
    <s v="Bred"/>
    <x v="0"/>
    <x v="0"/>
  </r>
  <r>
    <x v="9"/>
    <x v="49"/>
    <x v="1"/>
    <n v="24"/>
    <n v="15"/>
    <x v="0"/>
    <s v="No"/>
    <s v="Open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FA909C-FA05-4B83-B340-34C76BFD822E}" name="PivotTable55" cacheId="8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rowHeaderCaption="Cow_ID">
  <location ref="AC21:AC32" firstHeaderRow="1" firstDataRow="1" firstDataCol="1" rowPageCount="1" colPageCount="1"/>
  <pivotFields count="10">
    <pivotField numFmtId="14" showAll="0"/>
    <pivotField axis="axisRow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showAll="0"/>
  </pivotFields>
  <rowFields count="1">
    <field x="1"/>
  </rowFields>
  <rowItems count="11">
    <i>
      <x v="2"/>
    </i>
    <i>
      <x v="6"/>
    </i>
    <i>
      <x v="11"/>
    </i>
    <i>
      <x v="17"/>
    </i>
    <i>
      <x v="22"/>
    </i>
    <i>
      <x v="26"/>
    </i>
    <i>
      <x v="32"/>
    </i>
    <i>
      <x v="35"/>
    </i>
    <i>
      <x v="41"/>
    </i>
    <i>
      <x v="46"/>
    </i>
    <i t="grand">
      <x/>
    </i>
  </rowItems>
  <colItems count="1">
    <i/>
  </colItems>
  <pageFields count="1">
    <pageField fld="5" item="1" hier="-1"/>
  </pageFields>
  <formats count="4">
    <format dxfId="5">
      <pivotArea field="5" type="button" dataOnly="0" labelOnly="1" outline="0" axis="axisPage" fieldPosition="0"/>
    </format>
    <format dxfId="4">
      <pivotArea field="5" type="button" dataOnly="0" labelOnly="1" outline="0" axis="axisPage" fieldPosition="0"/>
    </format>
    <format dxfId="1">
      <pivotArea field="1" type="button" dataOnly="0" labelOnly="1" outline="0" axis="axisRow" fieldPosition="0"/>
    </format>
    <format dxfId="0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C725F0-8A23-4DFC-87E9-B984A9D7C7B8}" name="PivotTable53" cacheId="8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W31:X34" firstHeaderRow="1" firstDataRow="1" firstDataCol="1"/>
  <pivotFields count="10">
    <pivotField numFmtId="14" showAll="0"/>
    <pivotField showAll="0"/>
    <pivotField showAll="0"/>
    <pivotField dataField="1"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Average of Milk_Liters" fld="3" subtotal="average" baseField="5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01D9F-D8C1-4A50-828E-B2ADFF26FA52}" name="PivotTable52" cacheId="8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rowHeaderCaption="Date">
  <location ref="W16:X27" firstHeaderRow="1" firstDataRow="1" firstDataCol="1"/>
  <pivotFields count="10">
    <pivotField axis="axisRow" numFmtId="14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Total Milk Production in liters" fld="3" baseField="0" baseItem="0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1A5EB3-7897-4AB0-9584-A7ACECCB208C}" name="PivotTable51" cacheId="8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rowHeaderCaption="Shift">
  <location ref="T10:U13" firstHeaderRow="1" firstDataRow="1" firstDataCol="1"/>
  <pivotFields count="10"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</pivotFields>
  <rowFields count="1">
    <field x="9"/>
  </rowFields>
  <rowItems count="3">
    <i>
      <x/>
    </i>
    <i>
      <x v="1"/>
    </i>
    <i t="grand">
      <x/>
    </i>
  </rowItems>
  <colItems count="1">
    <i/>
  </colItems>
  <dataFields count="1">
    <dataField name="Milk Production in liters" fld="3" baseField="9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20CEA5-1D20-4144-9C0E-CD750305DA06}" name="PivotTable2" cacheId="8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rowHeaderCaption="Department">
  <location ref="Q10:R14" firstHeaderRow="1" firstDataRow="1" firstDataCol="1"/>
  <pivotFields count="10"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Milk Production in liters" fld="3" subtotal="average" baseField="8" baseItem="0" numFmtId="2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30FAD7-6B09-4171-BF05-D22D7A7333F3}" name="PivotTable1" cacheId="8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 rowHeaderCaption="Breed">
  <location ref="N10:O14" firstHeaderRow="1" firstDataRow="1" firstDataCol="1"/>
  <pivotFields count="10">
    <pivotField numFmtId="14" showAll="0"/>
    <pivotField showAll="0"/>
    <pivotField axis="axisRow"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ilk Production in liters" fld="3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43EE49-4055-49AE-821C-CE3209054C03}" autoFormatId="16" applyNumberFormats="0" applyBorderFormats="0" applyFontFormats="0" applyPatternFormats="0" applyAlignmentFormats="0" applyWidthHeightFormats="0">
  <queryTableRefresh nextId="11">
    <queryTableFields count="10">
      <queryTableField id="1" name="Date" tableColumnId="1"/>
      <queryTableField id="2" name="Cow_ID" tableColumnId="2"/>
      <queryTableField id="3" name="Breed" tableColumnId="3"/>
      <queryTableField id="4" name="Milk_Liters" tableColumnId="4"/>
      <queryTableField id="5" name="Feed_Kg" tableColumnId="5"/>
      <queryTableField id="6" name="Health_Status" tableColumnId="6"/>
      <queryTableField id="7" name="Vet_Visit" tableColumnId="7"/>
      <queryTableField id="8" name="Breeding_Status" tableColumnId="8"/>
      <queryTableField id="9" name="Department" tableColumnId="9"/>
      <queryTableField id="10" name="Shift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323FC2-BD69-4DF3-A357-B3BFD46A6C1B}" name="data__4" displayName="data__4" ref="A1:J51" tableType="queryTable" totalsRowShown="0">
  <autoFilter ref="A1:J51" xr:uid="{2B323FC2-BD69-4DF3-A357-B3BFD46A6C1B}"/>
  <tableColumns count="10">
    <tableColumn id="1" xr3:uid="{CB2F513C-AD75-4A73-AC86-4EF57B8BCBBE}" uniqueName="1" name="Date" queryTableFieldId="1" dataDxfId="21"/>
    <tableColumn id="2" xr3:uid="{67531712-4191-492D-8AC5-B77E2EA47CA5}" uniqueName="2" name="Cow_ID" queryTableFieldId="2" dataDxfId="20"/>
    <tableColumn id="3" xr3:uid="{C3DDCA6B-690B-4A1D-8CAA-4D7B03E19572}" uniqueName="3" name="Breed" queryTableFieldId="3" dataDxfId="19"/>
    <tableColumn id="4" xr3:uid="{38784178-DE8A-4839-A3A1-69A4BF2244D5}" uniqueName="4" name="Milk_Liters" queryTableFieldId="4"/>
    <tableColumn id="5" xr3:uid="{989D83A2-8831-47F0-9F95-DD523AA73BFB}" uniqueName="5" name="Feed_Kg" queryTableFieldId="5"/>
    <tableColumn id="6" xr3:uid="{6C1903A4-73D6-4C2B-B243-F540E4E42F73}" uniqueName="6" name="Health_Status" queryTableFieldId="6" dataDxfId="18"/>
    <tableColumn id="7" xr3:uid="{2AEDD800-80E3-4E08-8FF1-FDDA153BB94A}" uniqueName="7" name="Vet_Visit" queryTableFieldId="7" dataDxfId="17"/>
    <tableColumn id="8" xr3:uid="{C5F8F7DE-351D-479A-831B-A69469E4B0CE}" uniqueName="8" name="Breeding_Status" queryTableFieldId="8" dataDxfId="16"/>
    <tableColumn id="9" xr3:uid="{E9FF4DC3-42E5-4BB9-B18A-97EA6186F48A}" uniqueName="9" name="Department" queryTableFieldId="9" dataDxfId="15"/>
    <tableColumn id="10" xr3:uid="{C1F235E2-0D1F-4723-851B-61A46FC7CAAF}" uniqueName="10" name="Shift" queryTableFieldId="10" dataDxfId="14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5F526-7E11-49F5-8D0F-7A83645E16C4}">
  <dimension ref="A1:AD53"/>
  <sheetViews>
    <sheetView tabSelected="1" topLeftCell="E1" zoomScale="51" zoomScaleNormal="70" workbookViewId="0">
      <selection activeCell="AF24" sqref="AF24"/>
    </sheetView>
  </sheetViews>
  <sheetFormatPr defaultRowHeight="14.5"/>
  <cols>
    <col min="1" max="1" width="10.26953125" customWidth="1"/>
    <col min="2" max="2" width="9.1796875" customWidth="1"/>
    <col min="3" max="3" width="9.08984375" customWidth="1"/>
    <col min="4" max="4" width="12.26953125" bestFit="1" customWidth="1"/>
    <col min="5" max="5" width="10.08984375" bestFit="1" customWidth="1"/>
    <col min="6" max="6" width="16.453125" customWidth="1"/>
    <col min="7" max="7" width="10.6328125" bestFit="1" customWidth="1"/>
    <col min="8" max="8" width="18.81640625" customWidth="1"/>
    <col min="9" max="9" width="13.36328125" bestFit="1" customWidth="1"/>
    <col min="10" max="10" width="7.90625" bestFit="1" customWidth="1"/>
    <col min="12" max="12" width="7.6328125" customWidth="1"/>
    <col min="13" max="13" width="8.7265625" hidden="1" customWidth="1"/>
    <col min="14" max="14" width="12.36328125" bestFit="1" customWidth="1"/>
    <col min="15" max="15" width="22" customWidth="1"/>
    <col min="17" max="17" width="13.36328125" bestFit="1" customWidth="1"/>
    <col min="18" max="18" width="33.6328125" customWidth="1"/>
    <col min="20" max="20" width="14.54296875" bestFit="1" customWidth="1"/>
    <col min="21" max="21" width="22.54296875" bestFit="1" customWidth="1"/>
    <col min="23" max="23" width="13.90625" bestFit="1" customWidth="1"/>
    <col min="24" max="24" width="19.7265625" bestFit="1" customWidth="1"/>
    <col min="27" max="27" width="15.81640625" customWidth="1"/>
    <col min="29" max="29" width="12.90625" bestFit="1" customWidth="1"/>
    <col min="30" max="30" width="6.7265625" bestFit="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24">
      <c r="A2" s="1">
        <v>46143</v>
      </c>
      <c r="B2" s="4" t="s">
        <v>10</v>
      </c>
      <c r="C2" s="4" t="s">
        <v>11</v>
      </c>
      <c r="D2">
        <v>18</v>
      </c>
      <c r="E2">
        <v>12</v>
      </c>
      <c r="F2" s="4" t="s">
        <v>12</v>
      </c>
      <c r="G2" s="4" t="s">
        <v>13</v>
      </c>
      <c r="H2" s="4" t="s">
        <v>14</v>
      </c>
      <c r="I2" s="4" t="s">
        <v>15</v>
      </c>
      <c r="J2" s="4" t="s">
        <v>16</v>
      </c>
    </row>
    <row r="3" spans="1:24" ht="18.5">
      <c r="A3" s="1">
        <v>46143</v>
      </c>
      <c r="B3" s="4" t="s">
        <v>39</v>
      </c>
      <c r="C3" s="4" t="s">
        <v>22</v>
      </c>
      <c r="D3">
        <v>22</v>
      </c>
      <c r="E3">
        <v>14</v>
      </c>
      <c r="F3" s="4" t="s">
        <v>12</v>
      </c>
      <c r="G3" s="4" t="s">
        <v>13</v>
      </c>
      <c r="H3" s="4" t="s">
        <v>27</v>
      </c>
      <c r="I3" s="4" t="s">
        <v>15</v>
      </c>
      <c r="J3" s="4" t="s">
        <v>24</v>
      </c>
      <c r="N3" s="6" t="s">
        <v>79</v>
      </c>
      <c r="O3" s="6"/>
      <c r="Q3" s="6" t="s">
        <v>85</v>
      </c>
      <c r="R3" s="6"/>
      <c r="T3" s="6" t="s">
        <v>35</v>
      </c>
      <c r="U3" s="6"/>
    </row>
    <row r="4" spans="1:24" ht="18.5">
      <c r="A4" s="1">
        <v>46143</v>
      </c>
      <c r="B4" s="4" t="s">
        <v>40</v>
      </c>
      <c r="C4" s="4" t="s">
        <v>18</v>
      </c>
      <c r="D4">
        <v>16</v>
      </c>
      <c r="E4">
        <v>11</v>
      </c>
      <c r="F4" s="4" t="s">
        <v>30</v>
      </c>
      <c r="G4" s="4" t="s">
        <v>31</v>
      </c>
      <c r="H4" s="4" t="s">
        <v>27</v>
      </c>
      <c r="I4" s="4" t="s">
        <v>32</v>
      </c>
      <c r="J4" s="4" t="s">
        <v>16</v>
      </c>
      <c r="N4" s="8">
        <f>SUM(data__4[Milk_Liters])</f>
        <v>1000</v>
      </c>
      <c r="O4" s="8"/>
      <c r="Q4" s="8">
        <f>AVERAGE(data__4[Milk_Liters])</f>
        <v>20</v>
      </c>
      <c r="R4" s="8"/>
      <c r="T4" s="8">
        <f>COUNTIF(data__4[Health_Status], "Healthy")</f>
        <v>40</v>
      </c>
      <c r="U4" s="8"/>
    </row>
    <row r="5" spans="1:24">
      <c r="A5" s="1">
        <v>46143</v>
      </c>
      <c r="B5" s="4" t="s">
        <v>41</v>
      </c>
      <c r="C5" s="4" t="s">
        <v>11</v>
      </c>
      <c r="D5">
        <v>20</v>
      </c>
      <c r="E5">
        <v>13</v>
      </c>
      <c r="F5" s="4" t="s">
        <v>12</v>
      </c>
      <c r="G5" s="4" t="s">
        <v>13</v>
      </c>
      <c r="H5" s="4" t="s">
        <v>14</v>
      </c>
      <c r="I5" s="4" t="s">
        <v>15</v>
      </c>
      <c r="J5" s="4" t="s">
        <v>24</v>
      </c>
    </row>
    <row r="6" spans="1:24" ht="18.5">
      <c r="A6" s="1">
        <v>46143</v>
      </c>
      <c r="B6" s="4" t="s">
        <v>42</v>
      </c>
      <c r="C6" s="4" t="s">
        <v>22</v>
      </c>
      <c r="D6">
        <v>25</v>
      </c>
      <c r="E6">
        <v>15</v>
      </c>
      <c r="F6" s="4" t="s">
        <v>12</v>
      </c>
      <c r="G6" s="4" t="s">
        <v>13</v>
      </c>
      <c r="H6" s="4" t="s">
        <v>27</v>
      </c>
      <c r="I6" s="4" t="s">
        <v>15</v>
      </c>
      <c r="J6" s="4" t="s">
        <v>16</v>
      </c>
      <c r="N6" s="6" t="s">
        <v>36</v>
      </c>
      <c r="O6" s="6"/>
      <c r="Q6" s="6" t="s">
        <v>84</v>
      </c>
      <c r="R6" s="6"/>
      <c r="T6" s="6" t="s">
        <v>37</v>
      </c>
      <c r="U6" s="6"/>
    </row>
    <row r="7" spans="1:24" ht="18.5">
      <c r="A7" s="1">
        <v>46144</v>
      </c>
      <c r="B7" s="4" t="s">
        <v>17</v>
      </c>
      <c r="C7" s="4" t="s">
        <v>18</v>
      </c>
      <c r="D7">
        <v>15</v>
      </c>
      <c r="E7">
        <v>10</v>
      </c>
      <c r="F7" s="4" t="s">
        <v>12</v>
      </c>
      <c r="G7" s="4" t="s">
        <v>13</v>
      </c>
      <c r="H7" s="4" t="s">
        <v>19</v>
      </c>
      <c r="I7" s="4" t="s">
        <v>20</v>
      </c>
      <c r="J7" s="4" t="s">
        <v>16</v>
      </c>
      <c r="N7" s="8">
        <f>COUNTIF(data__4[Health_Status], "Sick")</f>
        <v>10</v>
      </c>
      <c r="O7" s="8"/>
      <c r="Q7" s="8">
        <f>AVERAGE(data__4[Feed_Kg])</f>
        <v>12.76</v>
      </c>
      <c r="R7" s="8"/>
      <c r="T7" s="8">
        <f>COUNTIF(data__4[Vet_Visit], "yes")</f>
        <v>10</v>
      </c>
      <c r="U7" s="8"/>
    </row>
    <row r="8" spans="1:24">
      <c r="A8" s="1">
        <v>46144</v>
      </c>
      <c r="B8" s="4" t="s">
        <v>43</v>
      </c>
      <c r="C8" s="4" t="s">
        <v>11</v>
      </c>
      <c r="D8">
        <v>19</v>
      </c>
      <c r="E8">
        <v>12</v>
      </c>
      <c r="F8" s="4" t="s">
        <v>30</v>
      </c>
      <c r="G8" s="4" t="s">
        <v>31</v>
      </c>
      <c r="H8" s="4" t="s">
        <v>27</v>
      </c>
      <c r="I8" s="4" t="s">
        <v>32</v>
      </c>
      <c r="J8" s="4" t="s">
        <v>24</v>
      </c>
    </row>
    <row r="9" spans="1:24">
      <c r="A9" s="1">
        <v>46144</v>
      </c>
      <c r="B9" s="4" t="s">
        <v>44</v>
      </c>
      <c r="C9" s="4" t="s">
        <v>22</v>
      </c>
      <c r="D9">
        <v>24</v>
      </c>
      <c r="E9">
        <v>15</v>
      </c>
      <c r="F9" s="4" t="s">
        <v>12</v>
      </c>
      <c r="G9" s="4" t="s">
        <v>13</v>
      </c>
      <c r="H9" s="4" t="s">
        <v>14</v>
      </c>
      <c r="I9" s="4" t="s">
        <v>15</v>
      </c>
      <c r="J9" s="4" t="s">
        <v>16</v>
      </c>
    </row>
    <row r="10" spans="1:24">
      <c r="A10" s="1">
        <v>46144</v>
      </c>
      <c r="B10" s="4" t="s">
        <v>45</v>
      </c>
      <c r="C10" s="4" t="s">
        <v>18</v>
      </c>
      <c r="D10">
        <v>17</v>
      </c>
      <c r="E10">
        <v>11</v>
      </c>
      <c r="F10" s="4" t="s">
        <v>12</v>
      </c>
      <c r="G10" s="4" t="s">
        <v>13</v>
      </c>
      <c r="H10" s="4" t="s">
        <v>27</v>
      </c>
      <c r="I10" s="4" t="s">
        <v>15</v>
      </c>
      <c r="J10" s="4" t="s">
        <v>24</v>
      </c>
      <c r="N10" s="2" t="s">
        <v>2</v>
      </c>
      <c r="O10" t="s">
        <v>81</v>
      </c>
      <c r="Q10" s="2" t="s">
        <v>8</v>
      </c>
      <c r="R10" t="s">
        <v>83</v>
      </c>
      <c r="T10" s="2" t="s">
        <v>9</v>
      </c>
      <c r="U10" t="s">
        <v>81</v>
      </c>
    </row>
    <row r="11" spans="1:24">
      <c r="A11" s="1">
        <v>46144</v>
      </c>
      <c r="B11" s="4" t="s">
        <v>46</v>
      </c>
      <c r="C11" s="4" t="s">
        <v>11</v>
      </c>
      <c r="D11">
        <v>21</v>
      </c>
      <c r="E11">
        <v>13</v>
      </c>
      <c r="F11" s="4" t="s">
        <v>12</v>
      </c>
      <c r="G11" s="4" t="s">
        <v>13</v>
      </c>
      <c r="H11" s="4" t="s">
        <v>19</v>
      </c>
      <c r="I11" s="4" t="s">
        <v>15</v>
      </c>
      <c r="J11" s="4" t="s">
        <v>16</v>
      </c>
      <c r="N11" s="3" t="s">
        <v>11</v>
      </c>
      <c r="O11" s="4">
        <v>327</v>
      </c>
      <c r="Q11" s="3" t="s">
        <v>20</v>
      </c>
      <c r="R11" s="5">
        <v>17.666666666666668</v>
      </c>
      <c r="T11" s="3" t="s">
        <v>24</v>
      </c>
      <c r="U11" s="4">
        <v>473</v>
      </c>
    </row>
    <row r="12" spans="1:24">
      <c r="A12" s="1">
        <v>46145</v>
      </c>
      <c r="B12" s="4" t="s">
        <v>21</v>
      </c>
      <c r="C12" s="4" t="s">
        <v>22</v>
      </c>
      <c r="D12">
        <v>26</v>
      </c>
      <c r="E12">
        <v>16</v>
      </c>
      <c r="F12" s="4" t="s">
        <v>12</v>
      </c>
      <c r="G12" s="4" t="s">
        <v>13</v>
      </c>
      <c r="H12" s="4" t="s">
        <v>14</v>
      </c>
      <c r="I12" s="4" t="s">
        <v>15</v>
      </c>
      <c r="J12" s="4" t="s">
        <v>16</v>
      </c>
      <c r="N12" s="3" t="s">
        <v>22</v>
      </c>
      <c r="O12" s="4">
        <v>422</v>
      </c>
      <c r="Q12" s="3" t="s">
        <v>15</v>
      </c>
      <c r="R12" s="5">
        <v>21.451612903225808</v>
      </c>
      <c r="T12" s="3" t="s">
        <v>16</v>
      </c>
      <c r="U12" s="4">
        <v>527</v>
      </c>
    </row>
    <row r="13" spans="1:24">
      <c r="A13" s="1">
        <v>46145</v>
      </c>
      <c r="B13" s="4" t="s">
        <v>47</v>
      </c>
      <c r="C13" s="4" t="s">
        <v>18</v>
      </c>
      <c r="D13">
        <v>14</v>
      </c>
      <c r="E13">
        <v>10</v>
      </c>
      <c r="F13" s="4" t="s">
        <v>30</v>
      </c>
      <c r="G13" s="4" t="s">
        <v>31</v>
      </c>
      <c r="H13" s="4" t="s">
        <v>27</v>
      </c>
      <c r="I13" s="4" t="s">
        <v>32</v>
      </c>
      <c r="J13" s="4" t="s">
        <v>24</v>
      </c>
      <c r="N13" s="3" t="s">
        <v>18</v>
      </c>
      <c r="O13" s="4">
        <v>251</v>
      </c>
      <c r="Q13" s="3" t="s">
        <v>32</v>
      </c>
      <c r="R13" s="5">
        <v>17.600000000000001</v>
      </c>
      <c r="T13" s="3" t="s">
        <v>38</v>
      </c>
      <c r="U13" s="4">
        <v>1000</v>
      </c>
    </row>
    <row r="14" spans="1:24">
      <c r="A14" s="1">
        <v>46145</v>
      </c>
      <c r="B14" s="4" t="s">
        <v>48</v>
      </c>
      <c r="C14" s="4" t="s">
        <v>11</v>
      </c>
      <c r="D14">
        <v>18</v>
      </c>
      <c r="E14">
        <v>12</v>
      </c>
      <c r="F14" s="4" t="s">
        <v>12</v>
      </c>
      <c r="G14" s="4" t="s">
        <v>13</v>
      </c>
      <c r="H14" s="4" t="s">
        <v>19</v>
      </c>
      <c r="I14" s="4" t="s">
        <v>20</v>
      </c>
      <c r="J14" s="4" t="s">
        <v>16</v>
      </c>
      <c r="N14" s="3" t="s">
        <v>38</v>
      </c>
      <c r="O14" s="4">
        <v>1000</v>
      </c>
      <c r="Q14" s="3" t="s">
        <v>38</v>
      </c>
      <c r="R14" s="5">
        <v>20</v>
      </c>
    </row>
    <row r="15" spans="1:24">
      <c r="A15" s="1">
        <v>46145</v>
      </c>
      <c r="B15" s="4" t="s">
        <v>49</v>
      </c>
      <c r="C15" s="4" t="s">
        <v>22</v>
      </c>
      <c r="D15">
        <v>23</v>
      </c>
      <c r="E15">
        <v>14</v>
      </c>
      <c r="F15" s="4" t="s">
        <v>12</v>
      </c>
      <c r="G15" s="4" t="s">
        <v>13</v>
      </c>
      <c r="H15" s="4" t="s">
        <v>14</v>
      </c>
      <c r="I15" s="4" t="s">
        <v>15</v>
      </c>
      <c r="J15" s="4" t="s">
        <v>24</v>
      </c>
    </row>
    <row r="16" spans="1:24">
      <c r="A16" s="1">
        <v>46145</v>
      </c>
      <c r="B16" s="4" t="s">
        <v>50</v>
      </c>
      <c r="C16" s="4" t="s">
        <v>18</v>
      </c>
      <c r="D16">
        <v>16</v>
      </c>
      <c r="E16">
        <v>11</v>
      </c>
      <c r="F16" s="4" t="s">
        <v>12</v>
      </c>
      <c r="G16" s="4" t="s">
        <v>13</v>
      </c>
      <c r="H16" s="4" t="s">
        <v>27</v>
      </c>
      <c r="I16" s="4" t="s">
        <v>15</v>
      </c>
      <c r="J16" s="4" t="s">
        <v>16</v>
      </c>
      <c r="W16" s="2" t="s">
        <v>0</v>
      </c>
      <c r="X16" t="s">
        <v>86</v>
      </c>
    </row>
    <row r="17" spans="1:30" ht="18.5">
      <c r="A17" s="1">
        <v>46146</v>
      </c>
      <c r="B17" s="4" t="s">
        <v>23</v>
      </c>
      <c r="C17" s="4" t="s">
        <v>11</v>
      </c>
      <c r="D17">
        <v>20</v>
      </c>
      <c r="E17">
        <v>13</v>
      </c>
      <c r="F17" s="4" t="s">
        <v>12</v>
      </c>
      <c r="G17" s="4" t="s">
        <v>13</v>
      </c>
      <c r="H17" s="4" t="s">
        <v>19</v>
      </c>
      <c r="I17" s="4" t="s">
        <v>15</v>
      </c>
      <c r="J17" s="4" t="s">
        <v>24</v>
      </c>
      <c r="W17" s="7">
        <v>46143</v>
      </c>
      <c r="X17" s="4">
        <v>101</v>
      </c>
      <c r="Z17" s="6" t="s">
        <v>87</v>
      </c>
      <c r="AA17" s="6"/>
      <c r="AB17" s="6"/>
      <c r="AC17" s="6"/>
    </row>
    <row r="18" spans="1:30" ht="18.5">
      <c r="A18" s="1">
        <v>46146</v>
      </c>
      <c r="B18" s="4" t="s">
        <v>51</v>
      </c>
      <c r="C18" s="4" t="s">
        <v>22</v>
      </c>
      <c r="D18">
        <v>27</v>
      </c>
      <c r="E18">
        <v>16</v>
      </c>
      <c r="F18" s="4" t="s">
        <v>12</v>
      </c>
      <c r="G18" s="4" t="s">
        <v>13</v>
      </c>
      <c r="H18" s="4" t="s">
        <v>14</v>
      </c>
      <c r="I18" s="4" t="s">
        <v>15</v>
      </c>
      <c r="J18" s="4" t="s">
        <v>16</v>
      </c>
      <c r="W18" s="7">
        <v>46144</v>
      </c>
      <c r="X18" s="4">
        <v>96</v>
      </c>
      <c r="Z18" s="8">
        <f>AVERAGE(X17:X26)</f>
        <v>100</v>
      </c>
      <c r="AA18" s="8"/>
      <c r="AB18" s="8"/>
      <c r="AC18" s="8"/>
    </row>
    <row r="19" spans="1:30">
      <c r="A19" s="1">
        <v>46146</v>
      </c>
      <c r="B19" s="4" t="s">
        <v>52</v>
      </c>
      <c r="C19" s="4" t="s">
        <v>18</v>
      </c>
      <c r="D19">
        <v>15</v>
      </c>
      <c r="E19">
        <v>10</v>
      </c>
      <c r="F19" s="4" t="s">
        <v>30</v>
      </c>
      <c r="G19" s="4" t="s">
        <v>31</v>
      </c>
      <c r="H19" s="4" t="s">
        <v>27</v>
      </c>
      <c r="I19" s="4" t="s">
        <v>32</v>
      </c>
      <c r="J19" s="4" t="s">
        <v>24</v>
      </c>
      <c r="W19" s="7">
        <v>46145</v>
      </c>
      <c r="X19" s="4">
        <v>97</v>
      </c>
      <c r="AC19" s="9" t="s">
        <v>5</v>
      </c>
      <c r="AD19" t="s">
        <v>30</v>
      </c>
    </row>
    <row r="20" spans="1:30">
      <c r="A20" s="1">
        <v>46146</v>
      </c>
      <c r="B20" s="4" t="s">
        <v>53</v>
      </c>
      <c r="C20" s="4" t="s">
        <v>11</v>
      </c>
      <c r="D20">
        <v>19</v>
      </c>
      <c r="E20">
        <v>12</v>
      </c>
      <c r="F20" s="4" t="s">
        <v>12</v>
      </c>
      <c r="G20" s="4" t="s">
        <v>13</v>
      </c>
      <c r="H20" s="4" t="s">
        <v>19</v>
      </c>
      <c r="I20" s="4" t="s">
        <v>20</v>
      </c>
      <c r="J20" s="4" t="s">
        <v>16</v>
      </c>
      <c r="W20" s="7">
        <v>46146</v>
      </c>
      <c r="X20" s="4">
        <v>105</v>
      </c>
    </row>
    <row r="21" spans="1:30">
      <c r="A21" s="1">
        <v>46146</v>
      </c>
      <c r="B21" s="4" t="s">
        <v>54</v>
      </c>
      <c r="C21" s="4" t="s">
        <v>22</v>
      </c>
      <c r="D21">
        <v>24</v>
      </c>
      <c r="E21">
        <v>15</v>
      </c>
      <c r="F21" s="4" t="s">
        <v>12</v>
      </c>
      <c r="G21" s="4" t="s">
        <v>13</v>
      </c>
      <c r="H21" s="4" t="s">
        <v>27</v>
      </c>
      <c r="I21" s="4" t="s">
        <v>15</v>
      </c>
      <c r="J21" s="4" t="s">
        <v>24</v>
      </c>
      <c r="W21" s="7">
        <v>46147</v>
      </c>
      <c r="X21" s="4">
        <v>96</v>
      </c>
      <c r="Z21" s="9" t="s">
        <v>1</v>
      </c>
      <c r="AA21" s="9" t="s">
        <v>88</v>
      </c>
      <c r="AC21" s="9" t="s">
        <v>1</v>
      </c>
    </row>
    <row r="22" spans="1:30">
      <c r="A22" s="1">
        <v>46147</v>
      </c>
      <c r="B22" s="4" t="s">
        <v>25</v>
      </c>
      <c r="C22" s="4" t="s">
        <v>18</v>
      </c>
      <c r="D22">
        <v>17</v>
      </c>
      <c r="E22">
        <v>11</v>
      </c>
      <c r="F22" s="4" t="s">
        <v>12</v>
      </c>
      <c r="G22" s="4" t="s">
        <v>13</v>
      </c>
      <c r="H22" s="4" t="s">
        <v>14</v>
      </c>
      <c r="I22" s="4" t="s">
        <v>15</v>
      </c>
      <c r="J22" s="4" t="s">
        <v>16</v>
      </c>
      <c r="W22" s="7">
        <v>46148</v>
      </c>
      <c r="X22" s="4">
        <v>101</v>
      </c>
      <c r="Z22" s="3" t="s">
        <v>64</v>
      </c>
      <c r="AA22">
        <f>VLOOKUP(Z22, data__4[[Cow_ID]:[Milk_Liters]], 3, 0)</f>
        <v>16</v>
      </c>
      <c r="AC22" s="3" t="s">
        <v>40</v>
      </c>
    </row>
    <row r="23" spans="1:30">
      <c r="A23" s="1">
        <v>46147</v>
      </c>
      <c r="B23" s="4" t="s">
        <v>55</v>
      </c>
      <c r="C23" s="4" t="s">
        <v>11</v>
      </c>
      <c r="D23">
        <v>18</v>
      </c>
      <c r="E23">
        <v>12</v>
      </c>
      <c r="F23" s="4" t="s">
        <v>12</v>
      </c>
      <c r="G23" s="4" t="s">
        <v>13</v>
      </c>
      <c r="H23" s="4" t="s">
        <v>19</v>
      </c>
      <c r="I23" s="4" t="s">
        <v>15</v>
      </c>
      <c r="J23" s="4" t="s">
        <v>24</v>
      </c>
      <c r="W23" s="7">
        <v>46149</v>
      </c>
      <c r="X23" s="4">
        <v>106</v>
      </c>
      <c r="AC23" s="3" t="s">
        <v>43</v>
      </c>
    </row>
    <row r="24" spans="1:30">
      <c r="A24" s="1">
        <v>46147</v>
      </c>
      <c r="B24" s="4" t="s">
        <v>56</v>
      </c>
      <c r="C24" s="4" t="s">
        <v>22</v>
      </c>
      <c r="D24">
        <v>25</v>
      </c>
      <c r="E24">
        <v>15</v>
      </c>
      <c r="F24" s="4" t="s">
        <v>30</v>
      </c>
      <c r="G24" s="4" t="s">
        <v>31</v>
      </c>
      <c r="H24" s="4" t="s">
        <v>27</v>
      </c>
      <c r="I24" s="4" t="s">
        <v>32</v>
      </c>
      <c r="J24" s="4" t="s">
        <v>16</v>
      </c>
      <c r="W24" s="7">
        <v>46150</v>
      </c>
      <c r="X24" s="4">
        <v>95</v>
      </c>
      <c r="AC24" s="3" t="s">
        <v>47</v>
      </c>
    </row>
    <row r="25" spans="1:30">
      <c r="A25" s="1">
        <v>46147</v>
      </c>
      <c r="B25" s="4" t="s">
        <v>57</v>
      </c>
      <c r="C25" s="4" t="s">
        <v>18</v>
      </c>
      <c r="D25">
        <v>16</v>
      </c>
      <c r="E25">
        <v>11</v>
      </c>
      <c r="F25" s="4" t="s">
        <v>12</v>
      </c>
      <c r="G25" s="4" t="s">
        <v>13</v>
      </c>
      <c r="H25" s="4" t="s">
        <v>14</v>
      </c>
      <c r="I25" s="4" t="s">
        <v>15</v>
      </c>
      <c r="J25" s="4" t="s">
        <v>24</v>
      </c>
      <c r="W25" s="7">
        <v>46151</v>
      </c>
      <c r="X25" s="4">
        <v>98</v>
      </c>
      <c r="AC25" s="3" t="s">
        <v>52</v>
      </c>
    </row>
    <row r="26" spans="1:30">
      <c r="A26" s="1">
        <v>46147</v>
      </c>
      <c r="B26" s="4" t="s">
        <v>58</v>
      </c>
      <c r="C26" s="4" t="s">
        <v>11</v>
      </c>
      <c r="D26">
        <v>20</v>
      </c>
      <c r="E26">
        <v>13</v>
      </c>
      <c r="F26" s="4" t="s">
        <v>12</v>
      </c>
      <c r="G26" s="4" t="s">
        <v>13</v>
      </c>
      <c r="H26" s="4" t="s">
        <v>19</v>
      </c>
      <c r="I26" s="4" t="s">
        <v>20</v>
      </c>
      <c r="J26" s="4" t="s">
        <v>16</v>
      </c>
      <c r="W26" s="7">
        <v>46152</v>
      </c>
      <c r="X26" s="4">
        <v>105</v>
      </c>
      <c r="AC26" s="3" t="s">
        <v>56</v>
      </c>
    </row>
    <row r="27" spans="1:30">
      <c r="A27" s="1">
        <v>46148</v>
      </c>
      <c r="B27" s="4" t="s">
        <v>26</v>
      </c>
      <c r="C27" s="4" t="s">
        <v>22</v>
      </c>
      <c r="D27">
        <v>26</v>
      </c>
      <c r="E27">
        <v>16</v>
      </c>
      <c r="F27" s="4" t="s">
        <v>12</v>
      </c>
      <c r="G27" s="4" t="s">
        <v>13</v>
      </c>
      <c r="H27" s="4" t="s">
        <v>27</v>
      </c>
      <c r="I27" s="4" t="s">
        <v>15</v>
      </c>
      <c r="J27" s="4" t="s">
        <v>24</v>
      </c>
      <c r="W27" s="7" t="s">
        <v>38</v>
      </c>
      <c r="X27" s="4">
        <v>1000</v>
      </c>
      <c r="AC27" s="3" t="s">
        <v>59</v>
      </c>
    </row>
    <row r="28" spans="1:30">
      <c r="A28" s="1">
        <v>46148</v>
      </c>
      <c r="B28" s="4" t="s">
        <v>59</v>
      </c>
      <c r="C28" s="4" t="s">
        <v>18</v>
      </c>
      <c r="D28">
        <v>15</v>
      </c>
      <c r="E28">
        <v>10</v>
      </c>
      <c r="F28" s="4" t="s">
        <v>30</v>
      </c>
      <c r="G28" s="4" t="s">
        <v>31</v>
      </c>
      <c r="H28" s="4" t="s">
        <v>14</v>
      </c>
      <c r="I28" s="4" t="s">
        <v>32</v>
      </c>
      <c r="J28" s="4" t="s">
        <v>16</v>
      </c>
      <c r="AC28" s="3" t="s">
        <v>64</v>
      </c>
    </row>
    <row r="29" spans="1:30">
      <c r="A29" s="1">
        <v>46148</v>
      </c>
      <c r="B29" s="4" t="s">
        <v>60</v>
      </c>
      <c r="C29" s="4" t="s">
        <v>11</v>
      </c>
      <c r="D29">
        <v>19</v>
      </c>
      <c r="E29">
        <v>12</v>
      </c>
      <c r="F29" s="4" t="s">
        <v>12</v>
      </c>
      <c r="G29" s="4" t="s">
        <v>13</v>
      </c>
      <c r="H29" s="4" t="s">
        <v>19</v>
      </c>
      <c r="I29" s="4" t="s">
        <v>15</v>
      </c>
      <c r="J29" s="4" t="s">
        <v>24</v>
      </c>
      <c r="AC29" s="3" t="s">
        <v>29</v>
      </c>
    </row>
    <row r="30" spans="1:30">
      <c r="A30" s="1">
        <v>46148</v>
      </c>
      <c r="B30" s="4" t="s">
        <v>61</v>
      </c>
      <c r="C30" s="4" t="s">
        <v>22</v>
      </c>
      <c r="D30">
        <v>24</v>
      </c>
      <c r="E30">
        <v>15</v>
      </c>
      <c r="F30" s="4" t="s">
        <v>12</v>
      </c>
      <c r="G30" s="4" t="s">
        <v>13</v>
      </c>
      <c r="H30" s="4" t="s">
        <v>27</v>
      </c>
      <c r="I30" s="4" t="s">
        <v>15</v>
      </c>
      <c r="J30" s="4" t="s">
        <v>16</v>
      </c>
      <c r="AC30" s="3" t="s">
        <v>71</v>
      </c>
    </row>
    <row r="31" spans="1:30">
      <c r="A31" s="1">
        <v>46148</v>
      </c>
      <c r="B31" s="4" t="s">
        <v>62</v>
      </c>
      <c r="C31" s="4" t="s">
        <v>18</v>
      </c>
      <c r="D31">
        <v>17</v>
      </c>
      <c r="E31">
        <v>11</v>
      </c>
      <c r="F31" s="4" t="s">
        <v>12</v>
      </c>
      <c r="G31" s="4" t="s">
        <v>13</v>
      </c>
      <c r="H31" s="4" t="s">
        <v>14</v>
      </c>
      <c r="I31" s="4" t="s">
        <v>20</v>
      </c>
      <c r="J31" s="4" t="s">
        <v>24</v>
      </c>
      <c r="W31" s="2" t="s">
        <v>80</v>
      </c>
      <c r="X31" t="s">
        <v>82</v>
      </c>
      <c r="AC31" s="3" t="s">
        <v>75</v>
      </c>
    </row>
    <row r="32" spans="1:30">
      <c r="A32" s="1">
        <v>46149</v>
      </c>
      <c r="B32" s="4" t="s">
        <v>28</v>
      </c>
      <c r="C32" s="4" t="s">
        <v>11</v>
      </c>
      <c r="D32">
        <v>18</v>
      </c>
      <c r="E32">
        <v>12</v>
      </c>
      <c r="F32" s="4" t="s">
        <v>12</v>
      </c>
      <c r="G32" s="4" t="s">
        <v>13</v>
      </c>
      <c r="H32" s="4" t="s">
        <v>19</v>
      </c>
      <c r="I32" s="4" t="s">
        <v>15</v>
      </c>
      <c r="J32" s="4" t="s">
        <v>16</v>
      </c>
      <c r="W32" s="3" t="s">
        <v>12</v>
      </c>
      <c r="X32" s="4">
        <v>20.6</v>
      </c>
      <c r="AC32" s="3" t="s">
        <v>38</v>
      </c>
    </row>
    <row r="33" spans="1:24">
      <c r="A33" s="1">
        <v>46149</v>
      </c>
      <c r="B33" s="4" t="s">
        <v>63</v>
      </c>
      <c r="C33" s="4" t="s">
        <v>22</v>
      </c>
      <c r="D33">
        <v>27</v>
      </c>
      <c r="E33">
        <v>16</v>
      </c>
      <c r="F33" s="4" t="s">
        <v>12</v>
      </c>
      <c r="G33" s="4" t="s">
        <v>13</v>
      </c>
      <c r="H33" s="4" t="s">
        <v>27</v>
      </c>
      <c r="I33" s="4" t="s">
        <v>15</v>
      </c>
      <c r="J33" s="4" t="s">
        <v>24</v>
      </c>
      <c r="W33" s="3" t="s">
        <v>30</v>
      </c>
      <c r="X33" s="4">
        <v>17.600000000000001</v>
      </c>
    </row>
    <row r="34" spans="1:24">
      <c r="A34" s="1">
        <v>46149</v>
      </c>
      <c r="B34" s="4" t="s">
        <v>64</v>
      </c>
      <c r="C34" s="4" t="s">
        <v>18</v>
      </c>
      <c r="D34">
        <v>16</v>
      </c>
      <c r="E34">
        <v>11</v>
      </c>
      <c r="F34" s="4" t="s">
        <v>30</v>
      </c>
      <c r="G34" s="4" t="s">
        <v>31</v>
      </c>
      <c r="H34" s="4" t="s">
        <v>14</v>
      </c>
      <c r="I34" s="4" t="s">
        <v>32</v>
      </c>
      <c r="J34" s="4" t="s">
        <v>16</v>
      </c>
      <c r="W34" s="3" t="s">
        <v>38</v>
      </c>
      <c r="X34" s="4">
        <v>20</v>
      </c>
    </row>
    <row r="35" spans="1:24">
      <c r="A35" s="1">
        <v>46149</v>
      </c>
      <c r="B35" s="4" t="s">
        <v>65</v>
      </c>
      <c r="C35" s="4" t="s">
        <v>11</v>
      </c>
      <c r="D35">
        <v>20</v>
      </c>
      <c r="E35">
        <v>13</v>
      </c>
      <c r="F35" s="4" t="s">
        <v>12</v>
      </c>
      <c r="G35" s="4" t="s">
        <v>13</v>
      </c>
      <c r="H35" s="4" t="s">
        <v>19</v>
      </c>
      <c r="I35" s="4" t="s">
        <v>20</v>
      </c>
      <c r="J35" s="4" t="s">
        <v>24</v>
      </c>
    </row>
    <row r="36" spans="1:24">
      <c r="A36" s="1">
        <v>46149</v>
      </c>
      <c r="B36" s="4" t="s">
        <v>66</v>
      </c>
      <c r="C36" s="4" t="s">
        <v>22</v>
      </c>
      <c r="D36">
        <v>25</v>
      </c>
      <c r="E36">
        <v>15</v>
      </c>
      <c r="F36" s="4" t="s">
        <v>12</v>
      </c>
      <c r="G36" s="4" t="s">
        <v>13</v>
      </c>
      <c r="H36" s="4" t="s">
        <v>27</v>
      </c>
      <c r="I36" s="4" t="s">
        <v>15</v>
      </c>
      <c r="J36" s="4" t="s">
        <v>16</v>
      </c>
    </row>
    <row r="37" spans="1:24">
      <c r="A37" s="1">
        <v>46150</v>
      </c>
      <c r="B37" s="4" t="s">
        <v>29</v>
      </c>
      <c r="C37" s="4" t="s">
        <v>18</v>
      </c>
      <c r="D37">
        <v>14</v>
      </c>
      <c r="E37">
        <v>10</v>
      </c>
      <c r="F37" s="4" t="s">
        <v>30</v>
      </c>
      <c r="G37" s="4" t="s">
        <v>31</v>
      </c>
      <c r="H37" s="4" t="s">
        <v>14</v>
      </c>
      <c r="I37" s="4" t="s">
        <v>32</v>
      </c>
      <c r="J37" s="4" t="s">
        <v>24</v>
      </c>
    </row>
    <row r="38" spans="1:24">
      <c r="A38" s="1">
        <v>46150</v>
      </c>
      <c r="B38" s="4" t="s">
        <v>67</v>
      </c>
      <c r="C38" s="4" t="s">
        <v>11</v>
      </c>
      <c r="D38">
        <v>19</v>
      </c>
      <c r="E38">
        <v>12</v>
      </c>
      <c r="F38" s="4" t="s">
        <v>12</v>
      </c>
      <c r="G38" s="4" t="s">
        <v>13</v>
      </c>
      <c r="H38" s="4" t="s">
        <v>19</v>
      </c>
      <c r="I38" s="4" t="s">
        <v>15</v>
      </c>
      <c r="J38" s="4" t="s">
        <v>16</v>
      </c>
    </row>
    <row r="39" spans="1:24">
      <c r="A39" s="1">
        <v>46150</v>
      </c>
      <c r="B39" s="4" t="s">
        <v>68</v>
      </c>
      <c r="C39" s="4" t="s">
        <v>22</v>
      </c>
      <c r="D39">
        <v>24</v>
      </c>
      <c r="E39">
        <v>15</v>
      </c>
      <c r="F39" s="4" t="s">
        <v>12</v>
      </c>
      <c r="G39" s="4" t="s">
        <v>13</v>
      </c>
      <c r="H39" s="4" t="s">
        <v>27</v>
      </c>
      <c r="I39" s="4" t="s">
        <v>15</v>
      </c>
      <c r="J39" s="4" t="s">
        <v>24</v>
      </c>
    </row>
    <row r="40" spans="1:24">
      <c r="A40" s="1">
        <v>46150</v>
      </c>
      <c r="B40" s="4" t="s">
        <v>69</v>
      </c>
      <c r="C40" s="4" t="s">
        <v>18</v>
      </c>
      <c r="D40">
        <v>17</v>
      </c>
      <c r="E40">
        <v>11</v>
      </c>
      <c r="F40" s="4" t="s">
        <v>12</v>
      </c>
      <c r="G40" s="4" t="s">
        <v>13</v>
      </c>
      <c r="H40" s="4" t="s">
        <v>14</v>
      </c>
      <c r="I40" s="4" t="s">
        <v>20</v>
      </c>
      <c r="J40" s="4" t="s">
        <v>16</v>
      </c>
    </row>
    <row r="41" spans="1:24">
      <c r="A41" s="1">
        <v>46150</v>
      </c>
      <c r="B41" s="4" t="s">
        <v>70</v>
      </c>
      <c r="C41" s="4" t="s">
        <v>11</v>
      </c>
      <c r="D41">
        <v>21</v>
      </c>
      <c r="E41">
        <v>13</v>
      </c>
      <c r="F41" s="4" t="s">
        <v>12</v>
      </c>
      <c r="G41" s="4" t="s">
        <v>13</v>
      </c>
      <c r="H41" s="4" t="s">
        <v>19</v>
      </c>
      <c r="I41" s="4" t="s">
        <v>15</v>
      </c>
      <c r="J41" s="4" t="s">
        <v>24</v>
      </c>
    </row>
    <row r="42" spans="1:24">
      <c r="A42" s="1">
        <v>46151</v>
      </c>
      <c r="B42" s="4" t="s">
        <v>33</v>
      </c>
      <c r="C42" s="4" t="s">
        <v>22</v>
      </c>
      <c r="D42">
        <v>26</v>
      </c>
      <c r="E42">
        <v>16</v>
      </c>
      <c r="F42" s="4" t="s">
        <v>12</v>
      </c>
      <c r="G42" s="4" t="s">
        <v>13</v>
      </c>
      <c r="H42" s="4" t="s">
        <v>27</v>
      </c>
      <c r="I42" s="4" t="s">
        <v>15</v>
      </c>
      <c r="J42" s="4" t="s">
        <v>16</v>
      </c>
    </row>
    <row r="43" spans="1:24">
      <c r="A43" s="1">
        <v>46151</v>
      </c>
      <c r="B43" s="4" t="s">
        <v>71</v>
      </c>
      <c r="C43" s="4" t="s">
        <v>18</v>
      </c>
      <c r="D43">
        <v>15</v>
      </c>
      <c r="E43">
        <v>10</v>
      </c>
      <c r="F43" s="4" t="s">
        <v>30</v>
      </c>
      <c r="G43" s="4" t="s">
        <v>31</v>
      </c>
      <c r="H43" s="4" t="s">
        <v>14</v>
      </c>
      <c r="I43" s="4" t="s">
        <v>32</v>
      </c>
      <c r="J43" s="4" t="s">
        <v>24</v>
      </c>
    </row>
    <row r="44" spans="1:24">
      <c r="A44" s="1">
        <v>46151</v>
      </c>
      <c r="B44" s="4" t="s">
        <v>72</v>
      </c>
      <c r="C44" s="4" t="s">
        <v>11</v>
      </c>
      <c r="D44">
        <v>18</v>
      </c>
      <c r="E44">
        <v>12</v>
      </c>
      <c r="F44" s="4" t="s">
        <v>12</v>
      </c>
      <c r="G44" s="4" t="s">
        <v>13</v>
      </c>
      <c r="H44" s="4" t="s">
        <v>19</v>
      </c>
      <c r="I44" s="4" t="s">
        <v>20</v>
      </c>
      <c r="J44" s="4" t="s">
        <v>16</v>
      </c>
    </row>
    <row r="45" spans="1:24">
      <c r="A45" s="1">
        <v>46151</v>
      </c>
      <c r="B45" s="4" t="s">
        <v>73</v>
      </c>
      <c r="C45" s="4" t="s">
        <v>22</v>
      </c>
      <c r="D45">
        <v>23</v>
      </c>
      <c r="E45">
        <v>14</v>
      </c>
      <c r="F45" s="4" t="s">
        <v>12</v>
      </c>
      <c r="G45" s="4" t="s">
        <v>13</v>
      </c>
      <c r="H45" s="4" t="s">
        <v>27</v>
      </c>
      <c r="I45" s="4" t="s">
        <v>15</v>
      </c>
      <c r="J45" s="4" t="s">
        <v>24</v>
      </c>
    </row>
    <row r="46" spans="1:24">
      <c r="A46" s="1">
        <v>46151</v>
      </c>
      <c r="B46" s="4" t="s">
        <v>74</v>
      </c>
      <c r="C46" s="4" t="s">
        <v>18</v>
      </c>
      <c r="D46">
        <v>16</v>
      </c>
      <c r="E46">
        <v>11</v>
      </c>
      <c r="F46" s="4" t="s">
        <v>12</v>
      </c>
      <c r="G46" s="4" t="s">
        <v>13</v>
      </c>
      <c r="H46" s="4" t="s">
        <v>14</v>
      </c>
      <c r="I46" s="4" t="s">
        <v>15</v>
      </c>
      <c r="J46" s="4" t="s">
        <v>16</v>
      </c>
    </row>
    <row r="47" spans="1:24">
      <c r="A47" s="1">
        <v>46152</v>
      </c>
      <c r="B47" s="4" t="s">
        <v>34</v>
      </c>
      <c r="C47" s="4" t="s">
        <v>11</v>
      </c>
      <c r="D47">
        <v>20</v>
      </c>
      <c r="E47">
        <v>13</v>
      </c>
      <c r="F47" s="4" t="s">
        <v>12</v>
      </c>
      <c r="G47" s="4" t="s">
        <v>13</v>
      </c>
      <c r="H47" s="4" t="s">
        <v>19</v>
      </c>
      <c r="I47" s="4" t="s">
        <v>15</v>
      </c>
      <c r="J47" s="4" t="s">
        <v>24</v>
      </c>
    </row>
    <row r="48" spans="1:24">
      <c r="A48" s="1">
        <v>46152</v>
      </c>
      <c r="B48" s="4" t="s">
        <v>75</v>
      </c>
      <c r="C48" s="4" t="s">
        <v>22</v>
      </c>
      <c r="D48">
        <v>27</v>
      </c>
      <c r="E48">
        <v>16</v>
      </c>
      <c r="F48" s="4" t="s">
        <v>30</v>
      </c>
      <c r="G48" s="4" t="s">
        <v>31</v>
      </c>
      <c r="H48" s="4" t="s">
        <v>27</v>
      </c>
      <c r="I48" s="4" t="s">
        <v>32</v>
      </c>
      <c r="J48" s="4" t="s">
        <v>16</v>
      </c>
    </row>
    <row r="49" spans="1:10">
      <c r="A49" s="1">
        <v>46152</v>
      </c>
      <c r="B49" s="4" t="s">
        <v>76</v>
      </c>
      <c r="C49" s="4" t="s">
        <v>18</v>
      </c>
      <c r="D49">
        <v>15</v>
      </c>
      <c r="E49">
        <v>10</v>
      </c>
      <c r="F49" s="4" t="s">
        <v>12</v>
      </c>
      <c r="G49" s="4" t="s">
        <v>13</v>
      </c>
      <c r="H49" s="4" t="s">
        <v>14</v>
      </c>
      <c r="I49" s="4" t="s">
        <v>20</v>
      </c>
      <c r="J49" s="4" t="s">
        <v>24</v>
      </c>
    </row>
    <row r="50" spans="1:10">
      <c r="A50" s="1">
        <v>46152</v>
      </c>
      <c r="B50" s="4" t="s">
        <v>77</v>
      </c>
      <c r="C50" s="4" t="s">
        <v>11</v>
      </c>
      <c r="D50">
        <v>19</v>
      </c>
      <c r="E50">
        <v>12</v>
      </c>
      <c r="F50" s="4" t="s">
        <v>12</v>
      </c>
      <c r="G50" s="4" t="s">
        <v>13</v>
      </c>
      <c r="H50" s="4" t="s">
        <v>19</v>
      </c>
      <c r="I50" s="4" t="s">
        <v>15</v>
      </c>
      <c r="J50" s="4" t="s">
        <v>16</v>
      </c>
    </row>
    <row r="51" spans="1:10">
      <c r="A51" s="1">
        <v>46152</v>
      </c>
      <c r="B51" s="4" t="s">
        <v>78</v>
      </c>
      <c r="C51" s="4" t="s">
        <v>22</v>
      </c>
      <c r="D51">
        <v>24</v>
      </c>
      <c r="E51">
        <v>15</v>
      </c>
      <c r="F51" s="4" t="s">
        <v>12</v>
      </c>
      <c r="G51" s="4" t="s">
        <v>13</v>
      </c>
      <c r="H51" s="4" t="s">
        <v>27</v>
      </c>
      <c r="I51" s="4" t="s">
        <v>15</v>
      </c>
      <c r="J51" s="4" t="s">
        <v>24</v>
      </c>
    </row>
    <row r="53" spans="1:10">
      <c r="D53">
        <f>COUNTIF(data__4[Milk_Liters], "&lt;20")</f>
        <v>26</v>
      </c>
    </row>
  </sheetData>
  <mergeCells count="14">
    <mergeCell ref="Z17:AC17"/>
    <mergeCell ref="Z18:AC18"/>
    <mergeCell ref="N6:O6"/>
    <mergeCell ref="Q6:R6"/>
    <mergeCell ref="T6:U6"/>
    <mergeCell ref="N7:O7"/>
    <mergeCell ref="Q7:R7"/>
    <mergeCell ref="T7:U7"/>
    <mergeCell ref="N3:O3"/>
    <mergeCell ref="Q3:R3"/>
    <mergeCell ref="T3:U3"/>
    <mergeCell ref="N4:O4"/>
    <mergeCell ref="Q4:R4"/>
    <mergeCell ref="T4:U4"/>
  </mergeCells>
  <conditionalFormatting sqref="D2:D51">
    <cfRule type="cellIs" dxfId="10" priority="3" operator="lessThan">
      <formula>20</formula>
    </cfRule>
  </conditionalFormatting>
  <conditionalFormatting sqref="G2:G51">
    <cfRule type="containsText" dxfId="9" priority="2" operator="containsText" text="yes">
      <formula>NOT(ISERROR(SEARCH("yes",G2)))</formula>
    </cfRule>
  </conditionalFormatting>
  <conditionalFormatting sqref="F1:F1048576">
    <cfRule type="containsText" dxfId="6" priority="1" operator="containsText" text="sick">
      <formula>NOT(ISERROR(SEARCH("sick",F1)))</formula>
    </cfRule>
  </conditionalFormatting>
  <pageMargins left="0.7" right="0.7" top="0.75" bottom="0.75" header="0.3" footer="0.3"/>
  <pageSetup orientation="portrait" r:id="rId7"/>
  <drawing r:id="rId8"/>
  <tableParts count="1">
    <tablePart r:id="rId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F00DE2A-85FF-49EA-AF56-A7210A8DA6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Cow_data</vt:lpstr>
      <vt:lpstr>Cow_data</vt:lpstr>
      <vt:lpstr>data_4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Akshit Chauhan</dc:creator>
  <cp:lastModifiedBy>Akshit Chauhan</cp:lastModifiedBy>
  <dcterms:created xsi:type="dcterms:W3CDTF">2026-05-19T19:01:07Z</dcterms:created>
  <dcterms:modified xsi:type="dcterms:W3CDTF">2026-05-21T06:54:42Z</dcterms:modified>
</cp:coreProperties>
</file>